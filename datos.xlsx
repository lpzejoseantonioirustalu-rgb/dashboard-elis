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HP\OneDrive\Escritorio\PASANTIAS\"/>
    </mc:Choice>
  </mc:AlternateContent>
  <xr:revisionPtr revIDLastSave="0" documentId="13_ncr:1_{21E53444-F364-4D40-91CA-9B34648FC704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Flujo Anual" sheetId="1" r:id="rId1"/>
    <sheet name="Flujo 12 Meses" sheetId="2" r:id="rId2"/>
    <sheet name="Flujo Historico 2024-2025" sheetId="3" r:id="rId3"/>
    <sheet name="Supuestos" sheetId="4" r:id="rId4"/>
    <sheet name="Datos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7" i="4" l="1"/>
  <c r="B15" i="4"/>
  <c r="B50" i="1" s="1"/>
  <c r="B14" i="4"/>
  <c r="B13" i="4"/>
  <c r="M46" i="2" s="1"/>
  <c r="B12" i="4"/>
  <c r="B10" i="4"/>
  <c r="B11" i="4" s="1"/>
  <c r="B9" i="4"/>
  <c r="B8" i="4"/>
  <c r="B7" i="4"/>
  <c r="B6" i="4"/>
  <c r="B4" i="4"/>
  <c r="B11" i="1" s="1"/>
  <c r="C49" i="3"/>
  <c r="B49" i="3"/>
  <c r="C45" i="3"/>
  <c r="B45" i="3"/>
  <c r="C44" i="3"/>
  <c r="B44" i="3"/>
  <c r="C43" i="3"/>
  <c r="B43" i="3"/>
  <c r="C42" i="3"/>
  <c r="B42" i="3"/>
  <c r="C40" i="3"/>
  <c r="B40" i="3"/>
  <c r="C39" i="3"/>
  <c r="B39" i="3"/>
  <c r="C38" i="3"/>
  <c r="B38" i="3"/>
  <c r="C37" i="3"/>
  <c r="B37" i="3"/>
  <c r="C36" i="3"/>
  <c r="C35" i="3"/>
  <c r="C33" i="3"/>
  <c r="B33" i="3"/>
  <c r="C31" i="3"/>
  <c r="B31" i="3"/>
  <c r="C30" i="3"/>
  <c r="B30" i="3"/>
  <c r="C29" i="3"/>
  <c r="B29" i="3"/>
  <c r="C27" i="3"/>
  <c r="B27" i="3"/>
  <c r="C26" i="3"/>
  <c r="B26" i="3"/>
  <c r="C25" i="3"/>
  <c r="B25" i="3"/>
  <c r="C24" i="3"/>
  <c r="B24" i="3"/>
  <c r="B36" i="3" s="1"/>
  <c r="C23" i="3"/>
  <c r="B23" i="3"/>
  <c r="B35" i="3" s="1"/>
  <c r="C22" i="3"/>
  <c r="B22" i="3"/>
  <c r="C21" i="3"/>
  <c r="B21" i="3"/>
  <c r="C20" i="3"/>
  <c r="B20" i="3"/>
  <c r="C19" i="3"/>
  <c r="B19" i="3"/>
  <c r="C17" i="3"/>
  <c r="B17" i="3"/>
  <c r="C16" i="3"/>
  <c r="B16" i="3"/>
  <c r="B13" i="3"/>
  <c r="C12" i="3"/>
  <c r="C13" i="3" s="1"/>
  <c r="C32" i="3" s="1"/>
  <c r="C46" i="3" s="1"/>
  <c r="B12" i="3"/>
  <c r="C10" i="3"/>
  <c r="B10" i="3"/>
  <c r="C9" i="3"/>
  <c r="B9" i="3"/>
  <c r="B50" i="2"/>
  <c r="E45" i="2" s="1"/>
  <c r="L46" i="2"/>
  <c r="E46" i="2"/>
  <c r="D46" i="2"/>
  <c r="C46" i="2"/>
  <c r="B46" i="2"/>
  <c r="M44" i="2"/>
  <c r="L44" i="2"/>
  <c r="K44" i="2"/>
  <c r="J44" i="2"/>
  <c r="I44" i="2"/>
  <c r="H44" i="2"/>
  <c r="G44" i="2"/>
  <c r="F44" i="2"/>
  <c r="E44" i="2"/>
  <c r="D44" i="2"/>
  <c r="C44" i="2"/>
  <c r="B44" i="2"/>
  <c r="N44" i="2" s="1"/>
  <c r="M42" i="2"/>
  <c r="L42" i="2"/>
  <c r="K42" i="2"/>
  <c r="J42" i="2"/>
  <c r="I42" i="2"/>
  <c r="H42" i="2"/>
  <c r="G42" i="2"/>
  <c r="F42" i="2"/>
  <c r="E42" i="2"/>
  <c r="D42" i="2"/>
  <c r="C42" i="2"/>
  <c r="B42" i="2"/>
  <c r="N42" i="2" s="1"/>
  <c r="M41" i="2"/>
  <c r="L41" i="2"/>
  <c r="K41" i="2"/>
  <c r="J41" i="2"/>
  <c r="I41" i="2"/>
  <c r="H41" i="2"/>
  <c r="G41" i="2"/>
  <c r="F41" i="2"/>
  <c r="E41" i="2"/>
  <c r="D41" i="2"/>
  <c r="C41" i="2"/>
  <c r="B41" i="2"/>
  <c r="N41" i="2" s="1"/>
  <c r="M40" i="2"/>
  <c r="L40" i="2"/>
  <c r="K40" i="2"/>
  <c r="J40" i="2"/>
  <c r="I40" i="2"/>
  <c r="H40" i="2"/>
  <c r="G40" i="2"/>
  <c r="F40" i="2"/>
  <c r="E40" i="2"/>
  <c r="D40" i="2"/>
  <c r="C40" i="2"/>
  <c r="B40" i="2"/>
  <c r="N40" i="2" s="1"/>
  <c r="M38" i="2"/>
  <c r="L38" i="2"/>
  <c r="K38" i="2"/>
  <c r="I38" i="2"/>
  <c r="G38" i="2"/>
  <c r="D38" i="2"/>
  <c r="B38" i="2"/>
  <c r="B35" i="2"/>
  <c r="M31" i="2"/>
  <c r="L31" i="2"/>
  <c r="K31" i="2"/>
  <c r="J31" i="2"/>
  <c r="I31" i="2"/>
  <c r="H31" i="2"/>
  <c r="G31" i="2"/>
  <c r="F31" i="2"/>
  <c r="E31" i="2"/>
  <c r="D31" i="2"/>
  <c r="C31" i="2"/>
  <c r="B31" i="2"/>
  <c r="M29" i="2"/>
  <c r="L29" i="2"/>
  <c r="K29" i="2"/>
  <c r="J29" i="2"/>
  <c r="I29" i="2"/>
  <c r="H29" i="2"/>
  <c r="G29" i="2"/>
  <c r="F29" i="2"/>
  <c r="E29" i="2"/>
  <c r="D29" i="2"/>
  <c r="C29" i="2"/>
  <c r="B29" i="2"/>
  <c r="N29" i="2" s="1"/>
  <c r="M28" i="2"/>
  <c r="L28" i="2"/>
  <c r="K28" i="2"/>
  <c r="J28" i="2"/>
  <c r="I28" i="2"/>
  <c r="H28" i="2"/>
  <c r="G28" i="2"/>
  <c r="F28" i="2"/>
  <c r="E28" i="2"/>
  <c r="D28" i="2"/>
  <c r="C28" i="2"/>
  <c r="B28" i="2"/>
  <c r="M26" i="2"/>
  <c r="L26" i="2"/>
  <c r="K26" i="2"/>
  <c r="J26" i="2"/>
  <c r="J38" i="2" s="1"/>
  <c r="I26" i="2"/>
  <c r="H26" i="2"/>
  <c r="H38" i="2" s="1"/>
  <c r="G26" i="2"/>
  <c r="F26" i="2"/>
  <c r="F38" i="2" s="1"/>
  <c r="E26" i="2"/>
  <c r="E38" i="2" s="1"/>
  <c r="D26" i="2"/>
  <c r="C26" i="2"/>
  <c r="C38" i="2" s="1"/>
  <c r="B26" i="2"/>
  <c r="N26" i="2" s="1"/>
  <c r="K25" i="2"/>
  <c r="K37" i="2" s="1"/>
  <c r="J25" i="2"/>
  <c r="J37" i="2" s="1"/>
  <c r="I25" i="2"/>
  <c r="I37" i="2" s="1"/>
  <c r="H25" i="2"/>
  <c r="H37" i="2" s="1"/>
  <c r="M24" i="2"/>
  <c r="L24" i="2"/>
  <c r="K24" i="2"/>
  <c r="J24" i="2"/>
  <c r="I24" i="2"/>
  <c r="H24" i="2"/>
  <c r="G24" i="2"/>
  <c r="F24" i="2"/>
  <c r="E24" i="2"/>
  <c r="D24" i="2"/>
  <c r="C24" i="2"/>
  <c r="B24" i="2"/>
  <c r="M23" i="2"/>
  <c r="L23" i="2"/>
  <c r="K23" i="2"/>
  <c r="J23" i="2"/>
  <c r="I23" i="2"/>
  <c r="H23" i="2"/>
  <c r="N23" i="2" s="1"/>
  <c r="G23" i="2"/>
  <c r="F23" i="2"/>
  <c r="E23" i="2"/>
  <c r="D23" i="2"/>
  <c r="C23" i="2"/>
  <c r="B23" i="2"/>
  <c r="M19" i="2"/>
  <c r="L19" i="2"/>
  <c r="K19" i="2"/>
  <c r="J19" i="2"/>
  <c r="I19" i="2"/>
  <c r="H19" i="2"/>
  <c r="G19" i="2"/>
  <c r="F19" i="2"/>
  <c r="E19" i="2"/>
  <c r="D19" i="2"/>
  <c r="C19" i="2"/>
  <c r="B19" i="2"/>
  <c r="N19" i="2" s="1"/>
  <c r="M14" i="2"/>
  <c r="L14" i="2"/>
  <c r="K14" i="2"/>
  <c r="J14" i="2"/>
  <c r="I14" i="2"/>
  <c r="H14" i="2"/>
  <c r="G14" i="2"/>
  <c r="F14" i="2"/>
  <c r="E14" i="2"/>
  <c r="D14" i="2"/>
  <c r="C14" i="2"/>
  <c r="B14" i="2"/>
  <c r="N14" i="2" s="1"/>
  <c r="M12" i="2"/>
  <c r="L12" i="2"/>
  <c r="K12" i="2"/>
  <c r="J12" i="2"/>
  <c r="I12" i="2"/>
  <c r="H12" i="2"/>
  <c r="G12" i="2"/>
  <c r="F12" i="2"/>
  <c r="E12" i="2"/>
  <c r="D12" i="2"/>
  <c r="C12" i="2"/>
  <c r="B12" i="2"/>
  <c r="M8" i="2"/>
  <c r="L8" i="2"/>
  <c r="K8" i="2"/>
  <c r="J8" i="2"/>
  <c r="I8" i="2"/>
  <c r="H8" i="2"/>
  <c r="G8" i="2"/>
  <c r="F8" i="2"/>
  <c r="E8" i="2"/>
  <c r="D8" i="2"/>
  <c r="C8" i="2"/>
  <c r="B8" i="2"/>
  <c r="K46" i="1"/>
  <c r="J46" i="1"/>
  <c r="I46" i="1"/>
  <c r="H46" i="1"/>
  <c r="G46" i="1"/>
  <c r="F46" i="1"/>
  <c r="E46" i="1"/>
  <c r="D46" i="1"/>
  <c r="C46" i="1"/>
  <c r="B46" i="1"/>
  <c r="K44" i="1"/>
  <c r="J44" i="1"/>
  <c r="I44" i="1"/>
  <c r="L44" i="1" s="1"/>
  <c r="H44" i="1"/>
  <c r="G44" i="1"/>
  <c r="F44" i="1"/>
  <c r="E44" i="1"/>
  <c r="D44" i="1"/>
  <c r="C44" i="1"/>
  <c r="B44" i="1"/>
  <c r="K42" i="1"/>
  <c r="J42" i="1"/>
  <c r="I42" i="1"/>
  <c r="H42" i="1"/>
  <c r="G42" i="1"/>
  <c r="F42" i="1"/>
  <c r="E42" i="1"/>
  <c r="D42" i="1"/>
  <c r="C42" i="1"/>
  <c r="B42" i="1"/>
  <c r="L42" i="1" s="1"/>
  <c r="K41" i="1"/>
  <c r="J41" i="1"/>
  <c r="I41" i="1"/>
  <c r="H41" i="1"/>
  <c r="G41" i="1"/>
  <c r="L41" i="1" s="1"/>
  <c r="F41" i="1"/>
  <c r="E41" i="1"/>
  <c r="D41" i="1"/>
  <c r="C41" i="1"/>
  <c r="B41" i="1"/>
  <c r="K40" i="1"/>
  <c r="J40" i="1"/>
  <c r="I40" i="1"/>
  <c r="H40" i="1"/>
  <c r="G40" i="1"/>
  <c r="F40" i="1"/>
  <c r="L40" i="1" s="1"/>
  <c r="E40" i="1"/>
  <c r="D40" i="1"/>
  <c r="C40" i="1"/>
  <c r="J38" i="1"/>
  <c r="I38" i="1"/>
  <c r="H38" i="1"/>
  <c r="E38" i="1"/>
  <c r="D38" i="1"/>
  <c r="B38" i="1"/>
  <c r="G37" i="1"/>
  <c r="F37" i="1"/>
  <c r="E37" i="1"/>
  <c r="D37" i="1"/>
  <c r="C37" i="1"/>
  <c r="B35" i="1"/>
  <c r="K31" i="1"/>
  <c r="J31" i="1"/>
  <c r="I31" i="1"/>
  <c r="H31" i="1"/>
  <c r="G31" i="1"/>
  <c r="F31" i="1"/>
  <c r="E31" i="1"/>
  <c r="D31" i="1"/>
  <c r="C31" i="1"/>
  <c r="B31" i="1"/>
  <c r="L31" i="1" s="1"/>
  <c r="K29" i="1"/>
  <c r="J29" i="1"/>
  <c r="I29" i="1"/>
  <c r="H29" i="1"/>
  <c r="G29" i="1"/>
  <c r="F29" i="1"/>
  <c r="E29" i="1"/>
  <c r="D29" i="1"/>
  <c r="C29" i="1"/>
  <c r="B29" i="1"/>
  <c r="L29" i="1" s="1"/>
  <c r="L28" i="1"/>
  <c r="K28" i="1"/>
  <c r="J28" i="1"/>
  <c r="I28" i="1"/>
  <c r="H28" i="1"/>
  <c r="G28" i="1"/>
  <c r="F28" i="1"/>
  <c r="E28" i="1"/>
  <c r="D28" i="1"/>
  <c r="C28" i="1"/>
  <c r="B28" i="1"/>
  <c r="K26" i="1"/>
  <c r="K38" i="1" s="1"/>
  <c r="J26" i="1"/>
  <c r="I26" i="1"/>
  <c r="H26" i="1"/>
  <c r="G26" i="1"/>
  <c r="G38" i="1" s="1"/>
  <c r="F26" i="1"/>
  <c r="F38" i="1" s="1"/>
  <c r="E26" i="1"/>
  <c r="D26" i="1"/>
  <c r="C26" i="1"/>
  <c r="C38" i="1" s="1"/>
  <c r="B26" i="1"/>
  <c r="K25" i="1"/>
  <c r="K37" i="1" s="1"/>
  <c r="J25" i="1"/>
  <c r="J37" i="1" s="1"/>
  <c r="I25" i="1"/>
  <c r="I37" i="1" s="1"/>
  <c r="H25" i="1"/>
  <c r="H37" i="1" s="1"/>
  <c r="G25" i="1"/>
  <c r="F25" i="1"/>
  <c r="E25" i="1"/>
  <c r="L25" i="1" s="1"/>
  <c r="D25" i="1"/>
  <c r="C25" i="1"/>
  <c r="B25" i="1"/>
  <c r="B37" i="1" s="1"/>
  <c r="K24" i="1"/>
  <c r="J24" i="1"/>
  <c r="I24" i="1"/>
  <c r="H24" i="1"/>
  <c r="G24" i="1"/>
  <c r="F24" i="1"/>
  <c r="E24" i="1"/>
  <c r="D24" i="1"/>
  <c r="C24" i="1"/>
  <c r="B24" i="1"/>
  <c r="L24" i="1" s="1"/>
  <c r="K23" i="1"/>
  <c r="J23" i="1"/>
  <c r="I23" i="1"/>
  <c r="H23" i="1"/>
  <c r="G23" i="1"/>
  <c r="F23" i="1"/>
  <c r="E23" i="1"/>
  <c r="D23" i="1"/>
  <c r="C23" i="1"/>
  <c r="B23" i="1"/>
  <c r="L19" i="1"/>
  <c r="K19" i="1"/>
  <c r="J19" i="1"/>
  <c r="I19" i="1"/>
  <c r="H19" i="1"/>
  <c r="G19" i="1"/>
  <c r="F19" i="1"/>
  <c r="E19" i="1"/>
  <c r="D19" i="1"/>
  <c r="C19" i="1"/>
  <c r="B19" i="1"/>
  <c r="K14" i="1"/>
  <c r="J14" i="1"/>
  <c r="I14" i="1"/>
  <c r="L14" i="1" s="1"/>
  <c r="H14" i="1"/>
  <c r="G14" i="1"/>
  <c r="F14" i="1"/>
  <c r="E14" i="1"/>
  <c r="D14" i="1"/>
  <c r="C14" i="1"/>
  <c r="B14" i="1"/>
  <c r="K12" i="1"/>
  <c r="J12" i="1"/>
  <c r="I12" i="1"/>
  <c r="H12" i="1"/>
  <c r="L12" i="1" s="1"/>
  <c r="G12" i="1"/>
  <c r="F12" i="1"/>
  <c r="E12" i="1"/>
  <c r="D12" i="1"/>
  <c r="C12" i="1"/>
  <c r="B12" i="1"/>
  <c r="K8" i="1"/>
  <c r="J8" i="1"/>
  <c r="I8" i="1"/>
  <c r="H8" i="1"/>
  <c r="G8" i="1"/>
  <c r="F8" i="1"/>
  <c r="E8" i="1"/>
  <c r="D8" i="1"/>
  <c r="C8" i="1"/>
  <c r="B8" i="1"/>
  <c r="C11" i="1" l="1"/>
  <c r="D11" i="1" s="1"/>
  <c r="E11" i="1" s="1"/>
  <c r="E15" i="1" s="1"/>
  <c r="L50" i="1"/>
  <c r="B32" i="1"/>
  <c r="B45" i="1"/>
  <c r="B5" i="4"/>
  <c r="B11" i="2" s="1"/>
  <c r="C15" i="1"/>
  <c r="L23" i="1"/>
  <c r="D45" i="2"/>
  <c r="B47" i="3"/>
  <c r="B50" i="3" s="1"/>
  <c r="C45" i="2"/>
  <c r="D15" i="1"/>
  <c r="L35" i="1"/>
  <c r="F11" i="1"/>
  <c r="B45" i="2"/>
  <c r="L45" i="2"/>
  <c r="G45" i="2"/>
  <c r="K45" i="2"/>
  <c r="J45" i="2"/>
  <c r="I45" i="2"/>
  <c r="H45" i="2"/>
  <c r="B15" i="1"/>
  <c r="G25" i="2"/>
  <c r="G37" i="2" s="1"/>
  <c r="E25" i="2"/>
  <c r="E37" i="2" s="1"/>
  <c r="D25" i="2"/>
  <c r="D37" i="2" s="1"/>
  <c r="L25" i="2"/>
  <c r="L37" i="2" s="1"/>
  <c r="C25" i="2"/>
  <c r="C37" i="2" s="1"/>
  <c r="B25" i="2"/>
  <c r="M25" i="2"/>
  <c r="M37" i="2" s="1"/>
  <c r="L38" i="1"/>
  <c r="F45" i="2"/>
  <c r="L26" i="1"/>
  <c r="N28" i="2"/>
  <c r="N35" i="2"/>
  <c r="M45" i="2"/>
  <c r="N50" i="2"/>
  <c r="B32" i="3"/>
  <c r="B46" i="3" s="1"/>
  <c r="N38" i="2"/>
  <c r="C47" i="3"/>
  <c r="C50" i="3" s="1"/>
  <c r="N12" i="2"/>
  <c r="N31" i="2"/>
  <c r="B32" i="2"/>
  <c r="L46" i="1"/>
  <c r="N24" i="2"/>
  <c r="F25" i="2"/>
  <c r="F37" i="2" s="1"/>
  <c r="L37" i="1"/>
  <c r="F46" i="2"/>
  <c r="G46" i="2"/>
  <c r="H46" i="2"/>
  <c r="I46" i="2"/>
  <c r="J46" i="2"/>
  <c r="K46" i="2"/>
  <c r="C27" i="1" l="1"/>
  <c r="C39" i="1" s="1"/>
  <c r="C18" i="1"/>
  <c r="C22" i="1"/>
  <c r="C21" i="1"/>
  <c r="B15" i="2"/>
  <c r="C11" i="2"/>
  <c r="E27" i="1"/>
  <c r="E39" i="1" s="1"/>
  <c r="E22" i="1"/>
  <c r="E18" i="1"/>
  <c r="E21" i="1"/>
  <c r="B37" i="2"/>
  <c r="N37" i="2" s="1"/>
  <c r="N25" i="2"/>
  <c r="F15" i="1"/>
  <c r="G11" i="1"/>
  <c r="N46" i="2"/>
  <c r="B27" i="1"/>
  <c r="B18" i="1"/>
  <c r="B22" i="1"/>
  <c r="B21" i="1"/>
  <c r="B51" i="1"/>
  <c r="C50" i="1" s="1"/>
  <c r="N45" i="2"/>
  <c r="B51" i="2"/>
  <c r="C50" i="2" s="1"/>
  <c r="D27" i="1"/>
  <c r="D39" i="1" s="1"/>
  <c r="D18" i="1"/>
  <c r="D22" i="1"/>
  <c r="D21" i="1"/>
  <c r="B39" i="1" l="1"/>
  <c r="C15" i="2"/>
  <c r="D11" i="2"/>
  <c r="C45" i="1"/>
  <c r="C51" i="1" s="1"/>
  <c r="D50" i="1" s="1"/>
  <c r="C32" i="1"/>
  <c r="G15" i="1"/>
  <c r="H11" i="1"/>
  <c r="B27" i="2"/>
  <c r="B21" i="2"/>
  <c r="B22" i="2"/>
  <c r="B18" i="2"/>
  <c r="F27" i="1"/>
  <c r="F39" i="1" s="1"/>
  <c r="F18" i="1"/>
  <c r="F21" i="1"/>
  <c r="F22" i="1"/>
  <c r="C51" i="2"/>
  <c r="D50" i="2" s="1"/>
  <c r="C32" i="2"/>
  <c r="B33" i="1"/>
  <c r="B34" i="1" s="1"/>
  <c r="D32" i="1" l="1"/>
  <c r="D45" i="1"/>
  <c r="D51" i="1" s="1"/>
  <c r="E50" i="1" s="1"/>
  <c r="B33" i="2"/>
  <c r="D51" i="2"/>
  <c r="E50" i="2" s="1"/>
  <c r="D32" i="2"/>
  <c r="E11" i="2"/>
  <c r="D15" i="2"/>
  <c r="C27" i="2"/>
  <c r="C39" i="2" s="1"/>
  <c r="C22" i="2"/>
  <c r="C21" i="2"/>
  <c r="C18" i="2"/>
  <c r="C33" i="1"/>
  <c r="C34" i="1" s="1"/>
  <c r="B39" i="2"/>
  <c r="B47" i="1"/>
  <c r="H15" i="1"/>
  <c r="I11" i="1"/>
  <c r="G18" i="1"/>
  <c r="G27" i="1"/>
  <c r="G39" i="1" s="1"/>
  <c r="G21" i="1"/>
  <c r="G22" i="1"/>
  <c r="C47" i="1" l="1"/>
  <c r="E45" i="1"/>
  <c r="E51" i="1"/>
  <c r="F50" i="1" s="1"/>
  <c r="E32" i="1"/>
  <c r="E15" i="2"/>
  <c r="F11" i="2"/>
  <c r="E51" i="2"/>
  <c r="F50" i="2" s="1"/>
  <c r="E32" i="2"/>
  <c r="C33" i="2"/>
  <c r="C34" i="2" s="1"/>
  <c r="C47" i="2" s="1"/>
  <c r="B48" i="1"/>
  <c r="C35" i="1" s="1"/>
  <c r="C48" i="1" s="1"/>
  <c r="D35" i="1" s="1"/>
  <c r="H21" i="1"/>
  <c r="H18" i="1"/>
  <c r="H27" i="1"/>
  <c r="H22" i="1"/>
  <c r="D33" i="1"/>
  <c r="D34" i="1" s="1"/>
  <c r="I15" i="1"/>
  <c r="J11" i="1"/>
  <c r="D22" i="2"/>
  <c r="D21" i="2"/>
  <c r="D18" i="2"/>
  <c r="D27" i="2"/>
  <c r="B34" i="2"/>
  <c r="D47" i="1" l="1"/>
  <c r="E27" i="2"/>
  <c r="E39" i="2" s="1"/>
  <c r="E21" i="2"/>
  <c r="E22" i="2"/>
  <c r="E18" i="2"/>
  <c r="J15" i="1"/>
  <c r="K11" i="1"/>
  <c r="I18" i="1"/>
  <c r="I22" i="1"/>
  <c r="I21" i="1"/>
  <c r="I27" i="1"/>
  <c r="I39" i="1" s="1"/>
  <c r="F32" i="1"/>
  <c r="F45" i="1"/>
  <c r="F51" i="1"/>
  <c r="G50" i="1" s="1"/>
  <c r="D39" i="2"/>
  <c r="F51" i="2"/>
  <c r="G50" i="2" s="1"/>
  <c r="F32" i="2"/>
  <c r="E33" i="1"/>
  <c r="B47" i="2"/>
  <c r="D33" i="2"/>
  <c r="H39" i="1"/>
  <c r="F15" i="2"/>
  <c r="G11" i="2"/>
  <c r="G45" i="1" l="1"/>
  <c r="G32" i="1"/>
  <c r="G51" i="1"/>
  <c r="H50" i="1" s="1"/>
  <c r="E33" i="2"/>
  <c r="E34" i="2" s="1"/>
  <c r="E47" i="2" s="1"/>
  <c r="G51" i="2"/>
  <c r="H50" i="2" s="1"/>
  <c r="G32" i="2"/>
  <c r="G15" i="2"/>
  <c r="H11" i="2"/>
  <c r="F22" i="2"/>
  <c r="F21" i="2"/>
  <c r="F18" i="2"/>
  <c r="F33" i="2" s="1"/>
  <c r="F27" i="2"/>
  <c r="F39" i="2" s="1"/>
  <c r="E34" i="1"/>
  <c r="K15" i="1"/>
  <c r="L11" i="1"/>
  <c r="D34" i="2"/>
  <c r="B48" i="2"/>
  <c r="C35" i="2" s="1"/>
  <c r="C48" i="2" s="1"/>
  <c r="D35" i="2" s="1"/>
  <c r="F33" i="1"/>
  <c r="F34" i="1" s="1"/>
  <c r="F47" i="1" s="1"/>
  <c r="D48" i="1"/>
  <c r="E35" i="1" s="1"/>
  <c r="J18" i="1"/>
  <c r="J21" i="1"/>
  <c r="J22" i="1"/>
  <c r="J27" i="1"/>
  <c r="J39" i="1" s="1"/>
  <c r="L15" i="1"/>
  <c r="H32" i="2" l="1"/>
  <c r="H51" i="2"/>
  <c r="I50" i="2" s="1"/>
  <c r="H45" i="1"/>
  <c r="H32" i="1"/>
  <c r="H51" i="1"/>
  <c r="I50" i="1" s="1"/>
  <c r="D47" i="2"/>
  <c r="D48" i="2" s="1"/>
  <c r="E35" i="2" s="1"/>
  <c r="E48" i="2" s="1"/>
  <c r="F35" i="2" s="1"/>
  <c r="E47" i="1"/>
  <c r="E48" i="1" s="1"/>
  <c r="F35" i="1" s="1"/>
  <c r="F48" i="1" s="1"/>
  <c r="G35" i="1" s="1"/>
  <c r="G33" i="1"/>
  <c r="G34" i="1" s="1"/>
  <c r="F34" i="2"/>
  <c r="F47" i="2" s="1"/>
  <c r="K21" i="1"/>
  <c r="L21" i="1" s="1"/>
  <c r="K22" i="1"/>
  <c r="L22" i="1" s="1"/>
  <c r="K27" i="1"/>
  <c r="K39" i="1" s="1"/>
  <c r="L39" i="1" s="1"/>
  <c r="K18" i="1"/>
  <c r="L18" i="1" s="1"/>
  <c r="H15" i="2"/>
  <c r="I11" i="2"/>
  <c r="G22" i="2"/>
  <c r="G21" i="2"/>
  <c r="G18" i="2"/>
  <c r="G27" i="2"/>
  <c r="G33" i="2" l="1"/>
  <c r="F48" i="2"/>
  <c r="G35" i="2" s="1"/>
  <c r="G47" i="1"/>
  <c r="G48" i="1"/>
  <c r="H35" i="1" s="1"/>
  <c r="G34" i="2"/>
  <c r="I51" i="2"/>
  <c r="J50" i="2" s="1"/>
  <c r="I32" i="2"/>
  <c r="G39" i="2"/>
  <c r="I45" i="1"/>
  <c r="I51" i="1" s="1"/>
  <c r="J50" i="1" s="1"/>
  <c r="I32" i="1"/>
  <c r="H22" i="2"/>
  <c r="H21" i="2"/>
  <c r="H18" i="2"/>
  <c r="H27" i="2"/>
  <c r="H39" i="2" s="1"/>
  <c r="H33" i="1"/>
  <c r="H34" i="1" s="1"/>
  <c r="H47" i="1" s="1"/>
  <c r="J11" i="2"/>
  <c r="I15" i="2"/>
  <c r="L27" i="1"/>
  <c r="J32" i="1" l="1"/>
  <c r="J45" i="1"/>
  <c r="J51" i="1" s="1"/>
  <c r="K50" i="1" s="1"/>
  <c r="J32" i="2"/>
  <c r="J51" i="2"/>
  <c r="K50" i="2" s="1"/>
  <c r="I21" i="2"/>
  <c r="I18" i="2"/>
  <c r="I27" i="2"/>
  <c r="I22" i="2"/>
  <c r="H33" i="2"/>
  <c r="H34" i="2" s="1"/>
  <c r="G47" i="2"/>
  <c r="H48" i="1"/>
  <c r="I35" i="1" s="1"/>
  <c r="J15" i="2"/>
  <c r="K11" i="2"/>
  <c r="I33" i="1"/>
  <c r="I34" i="1" s="1"/>
  <c r="I47" i="1" s="1"/>
  <c r="H47" i="2" l="1"/>
  <c r="K45" i="1"/>
  <c r="L45" i="1" s="1"/>
  <c r="K51" i="1"/>
  <c r="L51" i="1" s="1"/>
  <c r="K32" i="1"/>
  <c r="I39" i="2"/>
  <c r="I33" i="2"/>
  <c r="I34" i="2" s="1"/>
  <c r="K15" i="2"/>
  <c r="L11" i="2"/>
  <c r="K32" i="2"/>
  <c r="K51" i="2"/>
  <c r="L50" i="2" s="1"/>
  <c r="I48" i="1"/>
  <c r="J35" i="1" s="1"/>
  <c r="J22" i="2"/>
  <c r="J18" i="2"/>
  <c r="J27" i="2"/>
  <c r="J39" i="2" s="1"/>
  <c r="J21" i="2"/>
  <c r="G48" i="2"/>
  <c r="H35" i="2" s="1"/>
  <c r="H48" i="2" s="1"/>
  <c r="I35" i="2" s="1"/>
  <c r="J33" i="1"/>
  <c r="J34" i="1" s="1"/>
  <c r="J47" i="1" s="1"/>
  <c r="J33" i="2" l="1"/>
  <c r="J34" i="2" s="1"/>
  <c r="J47" i="2" s="1"/>
  <c r="I47" i="2"/>
  <c r="I48" i="2" s="1"/>
  <c r="J35" i="2" s="1"/>
  <c r="J48" i="2" s="1"/>
  <c r="K35" i="2" s="1"/>
  <c r="L32" i="1"/>
  <c r="K33" i="1"/>
  <c r="L33" i="1" s="1"/>
  <c r="K34" i="1"/>
  <c r="L15" i="2"/>
  <c r="M11" i="2"/>
  <c r="K21" i="2"/>
  <c r="K18" i="2"/>
  <c r="K27" i="2"/>
  <c r="K39" i="2" s="1"/>
  <c r="K22" i="2"/>
  <c r="J48" i="1"/>
  <c r="K35" i="1" s="1"/>
  <c r="L51" i="2"/>
  <c r="M50" i="2" s="1"/>
  <c r="L32" i="2"/>
  <c r="K33" i="2" l="1"/>
  <c r="K34" i="2"/>
  <c r="K47" i="2" s="1"/>
  <c r="K48" i="2" s="1"/>
  <c r="L35" i="2" s="1"/>
  <c r="L27" i="2"/>
  <c r="L39" i="2" s="1"/>
  <c r="L21" i="2"/>
  <c r="L18" i="2"/>
  <c r="L22" i="2"/>
  <c r="M15" i="2"/>
  <c r="N11" i="2"/>
  <c r="K47" i="1"/>
  <c r="L47" i="1" s="1"/>
  <c r="L34" i="1"/>
  <c r="M32" i="2"/>
  <c r="N32" i="2" s="1"/>
  <c r="M51" i="2"/>
  <c r="N51" i="2" s="1"/>
  <c r="L33" i="2" l="1"/>
  <c r="M18" i="2"/>
  <c r="N18" i="2" s="1"/>
  <c r="M27" i="2"/>
  <c r="M22" i="2"/>
  <c r="N22" i="2" s="1"/>
  <c r="M21" i="2"/>
  <c r="N21" i="2" s="1"/>
  <c r="N15" i="2"/>
  <c r="L34" i="2"/>
  <c r="L47" i="2" s="1"/>
  <c r="L48" i="2" s="1"/>
  <c r="M35" i="2" s="1"/>
  <c r="K48" i="1"/>
  <c r="L48" i="1" s="1"/>
  <c r="M33" i="2" l="1"/>
  <c r="N33" i="2" s="1"/>
  <c r="M39" i="2"/>
  <c r="N39" i="2" s="1"/>
  <c r="N27" i="2"/>
  <c r="M34" i="2" l="1"/>
  <c r="M47" i="2" l="1"/>
  <c r="N34" i="2"/>
  <c r="N47" i="2" l="1"/>
  <c r="M48" i="2"/>
  <c r="N48" i="2" s="1"/>
</calcChain>
</file>

<file path=xl/sharedStrings.xml><?xml version="1.0" encoding="utf-8"?>
<sst xmlns="http://schemas.openxmlformats.org/spreadsheetml/2006/main" count="264" uniqueCount="179">
  <si>
    <t>FLUJO DE CAJA PROYECTADO TECNOLOGÍA FORMAL</t>
  </si>
  <si>
    <t>E.4.3.1.2</t>
  </si>
  <si>
    <t>NOMBRE:</t>
  </si>
  <si>
    <t>FECHA ELABORACION (dd/mm/aaaa):</t>
  </si>
  <si>
    <t>13/10/2026</t>
  </si>
  <si>
    <t>Expresado en bolivianos</t>
  </si>
  <si>
    <t>AÑO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</si>
  <si>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</si>
  <si>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</si>
  <si>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</si>
  <si>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</si>
  <si>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</si>
  <si>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</si>
  <si>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</si>
  <si>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</si>
  <si>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</si>
  <si>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</si>
  <si>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TOTALES</t>
  </si>
  <si>
    <t>TASA DE CRECIMIENTO ANUAL</t>
  </si>
  <si>
    <t>1° AÑO</t>
  </si>
  <si>
    <t>2° AÑO</t>
  </si>
  <si>
    <t>3° AÑO</t>
  </si>
  <si>
    <t>4° AÑO</t>
  </si>
  <si>
    <t>5° AÑO</t>
  </si>
  <si>
    <t>6° AÑO</t>
  </si>
  <si>
    <t>7° AÑO</t>
  </si>
  <si>
    <t>8° AÑO</t>
  </si>
  <si>
    <t>9° AÑO</t>
  </si>
  <si>
    <t>10° AÑO</t>
  </si>
  <si>
    <t>10 AÑOS</t>
  </si>
  <si>
    <t>Crecimiento esperado (%) ingresos de explotación</t>
  </si>
  <si>
    <t>INGRESOS</t>
  </si>
  <si>
    <t>OPERATIVOS O DE EXPLOTACION</t>
  </si>
  <si>
    <t xml:space="preserve">   Ingresos de explotación</t>
  </si>
  <si>
    <t xml:space="preserve">   Ingresos generados por actividad proyectada</t>
  </si>
  <si>
    <t>OTROS INGRESOS FUERA DE EXPLOTACION</t>
  </si>
  <si>
    <t xml:space="preserve">   Otros ingresos fuera de explotación</t>
  </si>
  <si>
    <t>TOTAL INGRESOS</t>
  </si>
  <si>
    <t>GASTOS</t>
  </si>
  <si>
    <t>COSTO DE VENTA O PRODUCCION</t>
  </si>
  <si>
    <t xml:space="preserve">   Costos de explotación</t>
  </si>
  <si>
    <t xml:space="preserve">   Otros costos de explotación</t>
  </si>
  <si>
    <t>ADMINISTRATIVO</t>
  </si>
  <si>
    <t xml:space="preserve">   Gastos de administración</t>
  </si>
  <si>
    <t xml:space="preserve">   Gastos de comercialización (IT)</t>
  </si>
  <si>
    <t xml:space="preserve">   Gastos generales</t>
  </si>
  <si>
    <t xml:space="preserve">   Otros gastos</t>
  </si>
  <si>
    <t xml:space="preserve">   Depreciaciones</t>
  </si>
  <si>
    <t xml:space="preserve">   Amortización cargos diferidos</t>
  </si>
  <si>
    <t xml:space="preserve">   Egresos/Ingresos que no generan flujo de efectivo (corrección monetaria)</t>
  </si>
  <si>
    <t xml:space="preserve">   Impuesto al Valor Agregado IVA</t>
  </si>
  <si>
    <t xml:space="preserve">   Impuesto a las Transacciones IT</t>
  </si>
  <si>
    <t>FINANCIEROS</t>
  </si>
  <si>
    <t xml:space="preserve">   Costo financiero BNB</t>
  </si>
  <si>
    <t xml:space="preserve">   Costo financiero (otras entidades)</t>
  </si>
  <si>
    <t>IMPUESTOS IUE</t>
  </si>
  <si>
    <t>UTILIDAD NETA</t>
  </si>
  <si>
    <t xml:space="preserve">   Saldo de caja inicial</t>
  </si>
  <si>
    <t>ACTIVIDADES QUE SUMAN AL FLUJO</t>
  </si>
  <si>
    <t xml:space="preserve">   Depreciación de activos</t>
  </si>
  <si>
    <t xml:space="preserve">   Egresos/ingresos que no generan flujo de efectivo</t>
  </si>
  <si>
    <t xml:space="preserve">   Financiamiento BNB</t>
  </si>
  <si>
    <t xml:space="preserve">   Financiamiento otros bancos</t>
  </si>
  <si>
    <t xml:space="preserve">   Otros financiamientos</t>
  </si>
  <si>
    <t>ACTIVIDADES QUE RESTAN AL FLUJO</t>
  </si>
  <si>
    <t xml:space="preserve">   Amortización capital BNB</t>
  </si>
  <si>
    <t xml:space="preserve">   Amortización capital otros bancos</t>
  </si>
  <si>
    <t xml:space="preserve">   Gastos de capital (inversiones)</t>
  </si>
  <si>
    <t>FLUJO DE CAJA ANUAL</t>
  </si>
  <si>
    <t>FLUJO DE CAJA ACUMULADO</t>
  </si>
  <si>
    <t>Apoyo: saldo de deuda LP al inicio</t>
  </si>
  <si>
    <t>Apoyo: saldo de deuda LP al final</t>
  </si>
  <si>
    <t>CONFITERIA ELIS</t>
  </si>
  <si>
    <t>MES DEL AÑO</t>
  </si>
  <si>
    <t>ene-26</t>
  </si>
  <si>
    <t>feb-26</t>
  </si>
  <si>
    <t>mar-26</t>
  </si>
  <si>
    <t>abr-26</t>
  </si>
  <si>
    <t>may-26</t>
  </si>
  <si>
    <t>jun-26</t>
  </si>
  <si>
    <t>jul-26</t>
  </si>
  <si>
    <t>ago-26</t>
  </si>
  <si>
    <t>sep-26</t>
  </si>
  <si>
    <t>oct-26</t>
  </si>
  <si>
    <t>nov-26</t>
  </si>
  <si>
    <t>dic-26</t>
  </si>
  <si>
    <t>TASA DE CRECIMIENTO MENSUAL</t>
  </si>
  <si>
    <t>1° MES</t>
  </si>
  <si>
    <t>2° MES</t>
  </si>
  <si>
    <t>3° MES</t>
  </si>
  <si>
    <t>4° MES</t>
  </si>
  <si>
    <t>5° MES</t>
  </si>
  <si>
    <t>6° MES</t>
  </si>
  <si>
    <t>7° MES</t>
  </si>
  <si>
    <t>8° MES</t>
  </si>
  <si>
    <t>9° MES</t>
  </si>
  <si>
    <t>10° MES</t>
  </si>
  <si>
    <t>11° MES</t>
  </si>
  <si>
    <t>12° MES</t>
  </si>
  <si>
    <t>AÑO 1</t>
  </si>
  <si>
    <t>FLUJO DE CAJA MENSUAL</t>
  </si>
  <si>
    <t xml:space="preserve">FLUJO DE CAJA DIRECTO </t>
  </si>
  <si>
    <t>CONCEPTO</t>
  </si>
  <si>
    <t>AÑO 2024</t>
  </si>
  <si>
    <t>AÑO 2025</t>
  </si>
  <si>
    <t xml:space="preserve">   Ingresos de explotación (cobros por ventas)</t>
  </si>
  <si>
    <t xml:space="preserve">   Costos de explotación (pagos)</t>
  </si>
  <si>
    <t xml:space="preserve">   Gastos de administración (pagos)</t>
  </si>
  <si>
    <t xml:space="preserve">   Gastos de comercialización</t>
  </si>
  <si>
    <t>UTILIDAD NETA (base flujo)</t>
  </si>
  <si>
    <t xml:space="preserve">   Saldo de caja inicial (caja y bancos + depósitos a plazo)</t>
  </si>
  <si>
    <t xml:space="preserve">   Otros mov. netos de patrimonio (ajuste global, reservas, res. acumulados) menos corrección monetaria</t>
  </si>
  <si>
    <t xml:space="preserve">   Gastos de capital (inversiones en activo fijo)</t>
  </si>
  <si>
    <t>FLUJO DE CAJA DEL PERÍODO</t>
  </si>
  <si>
    <t>FLUJO DE CAJA ACUMULADO (saldo final de caja)</t>
  </si>
  <si>
    <t>Verificación: caja y bancos + depósitos a plazo según Balance</t>
  </si>
  <si>
    <t>Diferencia (redondeo de los EEFF auditados)</t>
  </si>
  <si>
    <t>NOTAS Y SUPUESTOS</t>
  </si>
  <si>
    <t>1. Método directo: cobros y pagos se obtienen de ajustar el Estado de Resultados por las variaciones de las cuentas del Balance (año actual vs. anterior).</t>
  </si>
  <si>
    <t>2. El archivo solo tiene datos anuales (2023-2025); por eso el modelo del BNB (12 meses) se presenta por gestión 2024 y 2025, con las mismas filas del formato.</t>
  </si>
  <si>
    <t>3. Cobros = Ventas - variación (Documentos por cobrar + Gastos anticipados). En 2024 el saldo de Bs 6.982.712 pasó de Gastos anticipados a Documentos por cobrar; se trató como reclasificación.</t>
  </si>
  <si>
    <t>4. Pagos de costos = Costo de explotación + variación de Existencias (no hay proveedores en el Balance).</t>
  </si>
  <si>
    <t>5. Pagos administrativos = Gasto de administración - variación de Provisiones - variación de Impuestos por pagar (incluye IUE y Plan de pagos SIN de 2023, reclasificados a Impuestos por pagar en 2024).</t>
  </si>
  <si>
    <t>6. Corrección monetaria y depreciación no son salidas de efectivo: se muestran en los gastos (como en el formato) y se suman de vuelta en 'Actividades que suman'.</t>
  </si>
  <si>
    <t>7. Financiamiento / amortización = variación de Instituciones financieras a LP (no hay detalle BNB vs otros bancos; no hay desembolsos nuevos, solo pagos de cuotas).</t>
  </si>
  <si>
    <t>8. Gastos de capital = variación del Activo fijo neto + depreciación del año.</t>
  </si>
  <si>
    <t>9. Efectivo = Caja y bancos + Depósitos a plazo fijo. La fila 44 concilia movimientos de patrimonio que no pasan por resultados (ajuste global, otras reservas, utilidades retenidas).</t>
  </si>
  <si>
    <t>SUPUESTOS DE LA PROYECCIÓN (base: gestión 2025 auditada)</t>
  </si>
  <si>
    <t>Ventas 2025 (Bs)</t>
  </si>
  <si>
    <t>Ventas mensuales promedio 2025 (Bs)</t>
  </si>
  <si>
    <t>% Costo de explotación sobre ventas</t>
  </si>
  <si>
    <t>% Gastos de administración sobre ventas</t>
  </si>
  <si>
    <t>% Gastos de comercialización (IT) sobre ventas</t>
  </si>
  <si>
    <t>% Corrección monetaria sobre ventas (no es efectivo)</t>
  </si>
  <si>
    <t>Depreciación anual (Bs)</t>
  </si>
  <si>
    <t>Depreciación mensual (Bs)</t>
  </si>
  <si>
    <t>Inversiones (gastos de capital) anuales (Bs)</t>
  </si>
  <si>
    <t>Inversiones mensuales (Bs)</t>
  </si>
  <si>
    <t>Tasa de interés anual de la deuda</t>
  </si>
  <si>
    <t>Deuda con instituciones financieras LP al 31/12/2025 (Bs)</t>
  </si>
  <si>
    <t>Tasa del IUE</t>
  </si>
  <si>
    <t>Saldo de caja inicial: caja y bancos + depósitos a plazo (Bs)</t>
  </si>
  <si>
    <t>Supuestos generales</t>
  </si>
  <si>
    <t>- Se cobra y se paga al contado: no cambian cuentas por cobrar, existencias, proveedores ni impuestos por pagar.</t>
  </si>
  <si>
    <t>- La deuda a LP se paga en partes iguales durante el primer año (mensual en el flujo de 12 meses; todo en el año 1 en el flujo anual).</t>
  </si>
  <si>
    <t>- Intereses = saldo de la deuda x tasa (tasa 2025 = gasto financiero / deuda promedio).</t>
  </si>
  <si>
    <t>- IUE = 25% de la utilidad antes de impuestos, solo si es positiva. Inversiones y depreciación se mantienen iguales a 2025.</t>
  </si>
  <si>
    <t>- La proyección empieza en enero 2026, justo después del cierre auditado 2025.</t>
  </si>
  <si>
    <t>CONFITERIA ELIS - Datos fuente (estados financieros auditados, Bs)</t>
  </si>
  <si>
    <t>Concepto</t>
  </si>
  <si>
    <t>2023</t>
  </si>
  <si>
    <t>2024</t>
  </si>
  <si>
    <t>2025</t>
  </si>
  <si>
    <t>BALANCE GENERAL</t>
  </si>
  <si>
    <t>Caja y bancos</t>
  </si>
  <si>
    <t>Depósitos a plazo fijo y otros</t>
  </si>
  <si>
    <t>Documentos por cobrar del giro</t>
  </si>
  <si>
    <t>Gastos anticipados</t>
  </si>
  <si>
    <t>Existencias</t>
  </si>
  <si>
    <t>Activo fijo neto</t>
  </si>
  <si>
    <t>Provisiones y retenciones</t>
  </si>
  <si>
    <t>Impuestos por pagar</t>
  </si>
  <si>
    <t>Impuestos a las utilidades IUE por pagar</t>
  </si>
  <si>
    <t>Otro pasivo no corriente (Plan de pagos SIN)</t>
  </si>
  <si>
    <t>Instituciones financieras a largo plazo</t>
  </si>
  <si>
    <t>Total patrimonio</t>
  </si>
  <si>
    <t>Utilidad (pérdida) del ejercicio - Balance</t>
  </si>
  <si>
    <t>ESTADO DE RESULTADOS</t>
  </si>
  <si>
    <t>Ingresos de explotación</t>
  </si>
  <si>
    <t>Ingresos fuera de explotación</t>
  </si>
  <si>
    <t>Costos de explotación</t>
  </si>
  <si>
    <t>Gastos de administración</t>
  </si>
  <si>
    <t>Gastos de comercialización (impuestos)</t>
  </si>
  <si>
    <t>Depreciaciones</t>
  </si>
  <si>
    <t>Gastos financieros</t>
  </si>
  <si>
    <t>Corrección monetaria</t>
  </si>
  <si>
    <t>Impuesto a las utilidades IUE</t>
  </si>
  <si>
    <t>Ajustes de la gestión</t>
  </si>
  <si>
    <t>Utilidad (pérdida) - Estado de Resultados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</si>
</sst>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#,##0;\(#,##0\);\-"/>
  </numFmts>
  <fonts count="12" x14ac:knownFonts="1">
    <font>
      <sz val="11"/>
      <color theme="1"/>
      <name val="Calibri"/>
      <family val="2"/>
      <charset val="1"/>
    </font>
    <font>
      <b/>
      <sz val="11"/>
      <name val="Arial"/>
      <family val="2"/>
      <charset val="1"/>
    </font>
    <font>
      <sz val="10"/>
      <name val="Arial"/>
      <family val="2"/>
      <charset val="1"/>
    </font>
    <font>
      <b/>
      <sz val="10"/>
      <name val="Arial"/>
      <family val="2"/>
      <charset val="1"/>
    </font>
    <font>
      <i/>
      <sz val="10"/>
      <name val="Arial"/>
      <family val="2"/>
      <charset val="1"/>
    </font>
    <font>
      <b/>
      <sz val="10"/>
      <color rgb="FFFFFFFF"/>
      <name val="Arial"/>
      <family val="2"/>
      <charset val="1"/>
    </font>
    <font>
      <i/>
      <sz val="9"/>
      <name val="Arial"/>
      <family val="2"/>
      <charset val="1"/>
    </font>
    <font>
      <b/>
      <sz val="12"/>
      <color rgb="FF0000FF"/>
      <name val="Arial"/>
      <family val="2"/>
      <charset val="1"/>
    </font>
    <font>
      <b/>
      <sz val="9"/>
      <name val="Arial"/>
      <family val="2"/>
      <charset val="1"/>
    </font>
    <font>
      <sz val="9"/>
      <name val="Arial"/>
      <family val="2"/>
      <charset val="1"/>
    </font>
    <font>
      <b/>
      <sz val="12"/>
      <name val="Arial"/>
      <family val="2"/>
      <charset val="1"/>
    </font>
    <font>
      <sz val="10"/>
      <color rgb="FF0000FF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595959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D9D9D9"/>
        <bgColor rgb="FFC0C0C0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left"/>
    </xf>
    <xf numFmtId="0" fontId="5" fillId="2" borderId="0" xfId="0" applyFont="1" applyFill="1" applyAlignment="1">
      <alignment horizontal="center"/>
    </xf>
    <xf numFmtId="0" fontId="3" fillId="0" borderId="0" xfId="0" applyFont="1" applyAlignment="1">
      <alignment horizontal="center" wrapText="1"/>
    </xf>
    <xf numFmtId="0" fontId="6" fillId="0" borderId="0" xfId="0" applyFont="1" applyAlignment="1">
      <alignment horizontal="center"/>
    </xf>
    <xf numFmtId="164" fontId="2" fillId="0" borderId="0" xfId="0" applyNumberFormat="1" applyFont="1"/>
    <xf numFmtId="164" fontId="7" fillId="3" borderId="1" xfId="0" applyNumberFormat="1" applyFont="1" applyFill="1" applyBorder="1" applyAlignment="1">
      <alignment horizontal="center"/>
    </xf>
    <xf numFmtId="0" fontId="3" fillId="4" borderId="0" xfId="0" applyFont="1" applyFill="1"/>
    <xf numFmtId="0" fontId="0" fillId="4" borderId="0" xfId="0" applyFill="1"/>
    <xf numFmtId="165" fontId="2" fillId="0" borderId="0" xfId="0" applyNumberFormat="1" applyFont="1"/>
    <xf numFmtId="165" fontId="3" fillId="0" borderId="0" xfId="0" applyNumberFormat="1" applyFont="1"/>
    <xf numFmtId="165" fontId="3" fillId="0" borderId="2" xfId="0" applyNumberFormat="1" applyFont="1" applyBorder="1"/>
    <xf numFmtId="0" fontId="8" fillId="0" borderId="0" xfId="0" applyFont="1" applyAlignment="1">
      <alignment vertical="top" wrapText="1"/>
    </xf>
    <xf numFmtId="0" fontId="9" fillId="0" borderId="0" xfId="0" applyFont="1" applyAlignment="1">
      <alignment vertical="top" wrapText="1"/>
    </xf>
    <xf numFmtId="0" fontId="10" fillId="0" borderId="0" xfId="0" applyFont="1"/>
    <xf numFmtId="164" fontId="2" fillId="3" borderId="0" xfId="0" applyNumberFormat="1" applyFont="1" applyFill="1"/>
    <xf numFmtId="164" fontId="11" fillId="3" borderId="0" xfId="0" applyNumberFormat="1" applyFont="1" applyFill="1"/>
    <xf numFmtId="0" fontId="9" fillId="0" borderId="0" xfId="0" applyFont="1"/>
    <xf numFmtId="0" fontId="5" fillId="2" borderId="0" xfId="0" applyFont="1" applyFill="1"/>
    <xf numFmtId="165" fontId="1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1"/>
  <sheetViews>
    <sheetView showGridLines="0" zoomScale="70" zoomScaleNormal="100" workbookViewId="0">
      <pane ySplit="1" topLeftCell="A2" activePane="bottomLeft" state="frozen"/>
      <selection pane="bottomLeft" activeCell="N9" sqref="N9"/>
    </sheetView>
  </sheetViews>
  <sheetFormatPr baseColWidth="10" defaultColWidth="8.6640625" defaultRowHeight="14.4" x14ac:dyDescent="0.3"/>
  <cols>
    <col min="1" max="1" width="70" customWidth="1"/>
    <col min="2" max="12" width="14" customWidth="1"/>
    <col min="13" max="13" width="3" customWidth="1"/>
    <col min="14" max="14" width="24" customWidth="1"/>
  </cols>
  <sheetData>
    <row r="1" spans="1:14" x14ac:dyDescent="0.3">
      <c r="A1" s="1"/>
      <c r="D1" s="1" t="s">
        <v>0</v>
      </c>
    </row>
    <row r="2" spans="1:14" x14ac:dyDescent="0.3">
      <c r="A2" s="2" t="s">
        <v>1</v>
      </c>
    </row>
    <row r="3" spans="1:14" x14ac:dyDescent="0.3">
      <c r="A3" s="3" t="s">
        <v>2</v>
      </c>
      <c r="B3" s="3"/>
    </row>
    <row r="4" spans="1:14" x14ac:dyDescent="0.3">
      <c r="A4" s="3" t="s">
        <v>3</v>
      </c>
      <c r="B4" s="2" t="s">
        <v>4</v>
      </c>
      <c r="D4" s="4" t="s">
        <v>5</v>
      </c>
    </row>
    <row r="6" spans="1:14" ht="30" customHeight="1" x14ac:dyDescent="0.3">
      <c r="A6" s="5" t="s">
        <v>6</v>
      </c>
      <c r="B6" s="6" t="s">
        <v>7</v>
      </c>
      <c r="C6" s="6" t="s">
        <v>8</v>
      </c>
      <c r="D6" s="6" t="s">
        <v>9</v>
      </c>
      <c r="E6" s="6" t="s">
        <v>10</v>
      </c>
      <c r="F6" s="6" t="s">
        <v>11</v>
      </c>
      <c r="G6" s="6" t="s">
        <v>12</v>
      </c>
      <c r="H6" s="6" t="s">
        <v>13</v>
      </c>
      <c r="I6" s="6" t="s">
        <v>14</v>
      </c>
      <c r="J6" s="6" t="s">
        <v>15</v>
      </c>
      <c r="K6" s="6" t="s">
        <v>16</v>
      </c>
      <c r="L6" s="6" t="s">
        <v>17</v>
      </c>
      <c r="N6" s="7" t="s">
        <v>18</v>
      </c>
    </row>
    <row r="7" spans="1:14" x14ac:dyDescent="0.3">
      <c r="A7" s="5"/>
      <c r="B7" s="6" t="s">
        <v>19</v>
      </c>
      <c r="C7" s="6" t="s">
        <v>20</v>
      </c>
      <c r="D7" s="6" t="s">
        <v>21</v>
      </c>
      <c r="E7" s="6" t="s">
        <v>22</v>
      </c>
      <c r="F7" s="6" t="s">
        <v>23</v>
      </c>
      <c r="G7" s="6" t="s">
        <v>24</v>
      </c>
      <c r="H7" s="6" t="s">
        <v>25</v>
      </c>
      <c r="I7" s="6" t="s">
        <v>26</v>
      </c>
      <c r="J7" s="6" t="s">
        <v>27</v>
      </c>
      <c r="K7" s="6" t="s">
        <v>28</v>
      </c>
      <c r="L7" s="6" t="s">
        <v>29</v>
      </c>
      <c r="N7" s="8"/>
    </row>
    <row r="8" spans="1:14" ht="15" customHeight="1" x14ac:dyDescent="0.3">
      <c r="A8" t="s">
        <v>30</v>
      </c>
      <c r="B8" s="9">
        <f t="shared" ref="B8:K8" si="0">$N$8</f>
        <v>0.12</v>
      </c>
      <c r="C8" s="9">
        <f t="shared" si="0"/>
        <v>0.12</v>
      </c>
      <c r="D8" s="9">
        <f t="shared" si="0"/>
        <v>0.12</v>
      </c>
      <c r="E8" s="9">
        <f t="shared" si="0"/>
        <v>0.12</v>
      </c>
      <c r="F8" s="9">
        <f t="shared" si="0"/>
        <v>0.12</v>
      </c>
      <c r="G8" s="9">
        <f t="shared" si="0"/>
        <v>0.12</v>
      </c>
      <c r="H8" s="9">
        <f t="shared" si="0"/>
        <v>0.12</v>
      </c>
      <c r="I8" s="9">
        <f t="shared" si="0"/>
        <v>0.12</v>
      </c>
      <c r="J8" s="9">
        <f t="shared" si="0"/>
        <v>0.12</v>
      </c>
      <c r="K8" s="9">
        <f t="shared" si="0"/>
        <v>0.12</v>
      </c>
      <c r="N8" s="10">
        <v>0.12</v>
      </c>
    </row>
    <row r="9" spans="1:14" x14ac:dyDescent="0.3">
      <c r="A9" s="11" t="s">
        <v>31</v>
      </c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</row>
    <row r="10" spans="1:14" x14ac:dyDescent="0.3">
      <c r="A10" s="3" t="s">
        <v>32</v>
      </c>
    </row>
    <row r="11" spans="1:14" x14ac:dyDescent="0.3">
      <c r="A11" s="2" t="s">
        <v>33</v>
      </c>
      <c r="B11" s="13">
        <f>Supuestos!$B$4*(1+B8)</f>
        <v>35512783.040000007</v>
      </c>
      <c r="C11" s="13">
        <f t="shared" ref="C11:K11" si="1">B11*(1+C8)</f>
        <v>39774317.004800014</v>
      </c>
      <c r="D11" s="13">
        <f t="shared" si="1"/>
        <v>44547235.045376018</v>
      </c>
      <c r="E11" s="13">
        <f t="shared" si="1"/>
        <v>49892903.250821143</v>
      </c>
      <c r="F11" s="13">
        <f t="shared" si="1"/>
        <v>55880051.640919685</v>
      </c>
      <c r="G11" s="13">
        <f t="shared" si="1"/>
        <v>62585657.837830052</v>
      </c>
      <c r="H11" s="13">
        <f t="shared" si="1"/>
        <v>70095936.778369665</v>
      </c>
      <c r="I11" s="13">
        <f t="shared" si="1"/>
        <v>78507449.191774026</v>
      </c>
      <c r="J11" s="13">
        <f t="shared" si="1"/>
        <v>87928343.094786912</v>
      </c>
      <c r="K11" s="13">
        <f t="shared" si="1"/>
        <v>98479744.266161352</v>
      </c>
      <c r="L11" s="14">
        <f>SUM(B11:K11)</f>
        <v>623204421.15083885</v>
      </c>
    </row>
    <row r="12" spans="1:14" x14ac:dyDescent="0.3">
      <c r="A12" s="2" t="s">
        <v>34</v>
      </c>
      <c r="B12" s="13">
        <f>0</f>
        <v>0</v>
      </c>
      <c r="C12" s="13">
        <f>0</f>
        <v>0</v>
      </c>
      <c r="D12" s="13">
        <f>0</f>
        <v>0</v>
      </c>
      <c r="E12" s="13">
        <f>0</f>
        <v>0</v>
      </c>
      <c r="F12" s="13">
        <f>0</f>
        <v>0</v>
      </c>
      <c r="G12" s="13">
        <f>0</f>
        <v>0</v>
      </c>
      <c r="H12" s="13">
        <f>0</f>
        <v>0</v>
      </c>
      <c r="I12" s="13">
        <f>0</f>
        <v>0</v>
      </c>
      <c r="J12" s="13">
        <f>0</f>
        <v>0</v>
      </c>
      <c r="K12" s="13">
        <f>0</f>
        <v>0</v>
      </c>
      <c r="L12" s="14">
        <f>SUM(B12:K12)</f>
        <v>0</v>
      </c>
    </row>
    <row r="13" spans="1:14" x14ac:dyDescent="0.3">
      <c r="A13" s="3" t="s">
        <v>35</v>
      </c>
    </row>
    <row r="14" spans="1:14" x14ac:dyDescent="0.3">
      <c r="A14" s="2" t="s">
        <v>36</v>
      </c>
      <c r="B14" s="13">
        <f>0</f>
        <v>0</v>
      </c>
      <c r="C14" s="13">
        <f>0</f>
        <v>0</v>
      </c>
      <c r="D14" s="13">
        <f>0</f>
        <v>0</v>
      </c>
      <c r="E14" s="13">
        <f>0</f>
        <v>0</v>
      </c>
      <c r="F14" s="13">
        <f>0</f>
        <v>0</v>
      </c>
      <c r="G14" s="13">
        <f>0</f>
        <v>0</v>
      </c>
      <c r="H14" s="13">
        <f>0</f>
        <v>0</v>
      </c>
      <c r="I14" s="13">
        <f>0</f>
        <v>0</v>
      </c>
      <c r="J14" s="13">
        <f>0</f>
        <v>0</v>
      </c>
      <c r="K14" s="13">
        <f>0</f>
        <v>0</v>
      </c>
      <c r="L14" s="14">
        <f>SUM(B14:K14)</f>
        <v>0</v>
      </c>
    </row>
    <row r="15" spans="1:14" x14ac:dyDescent="0.3">
      <c r="A15" s="3" t="s">
        <v>37</v>
      </c>
      <c r="B15" s="15">
        <f t="shared" ref="B15:K15" si="2">B11+B12+B14</f>
        <v>35512783.040000007</v>
      </c>
      <c r="C15" s="15">
        <f t="shared" si="2"/>
        <v>39774317.004800014</v>
      </c>
      <c r="D15" s="15">
        <f t="shared" si="2"/>
        <v>44547235.045376018</v>
      </c>
      <c r="E15" s="15">
        <f t="shared" si="2"/>
        <v>49892903.250821143</v>
      </c>
      <c r="F15" s="15">
        <f t="shared" si="2"/>
        <v>55880051.640919685</v>
      </c>
      <c r="G15" s="15">
        <f t="shared" si="2"/>
        <v>62585657.837830052</v>
      </c>
      <c r="H15" s="15">
        <f t="shared" si="2"/>
        <v>70095936.778369665</v>
      </c>
      <c r="I15" s="15">
        <f t="shared" si="2"/>
        <v>78507449.191774026</v>
      </c>
      <c r="J15" s="15">
        <f t="shared" si="2"/>
        <v>87928343.094786912</v>
      </c>
      <c r="K15" s="15">
        <f t="shared" si="2"/>
        <v>98479744.266161352</v>
      </c>
      <c r="L15" s="14">
        <f>SUM(B15:K15)</f>
        <v>623204421.15083885</v>
      </c>
    </row>
    <row r="16" spans="1:14" x14ac:dyDescent="0.3">
      <c r="A16" s="11" t="s">
        <v>38</v>
      </c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</row>
    <row r="17" spans="1:12" x14ac:dyDescent="0.3">
      <c r="A17" s="3" t="s">
        <v>39</v>
      </c>
    </row>
    <row r="18" spans="1:12" x14ac:dyDescent="0.3">
      <c r="A18" s="2" t="s">
        <v>40</v>
      </c>
      <c r="B18" s="13">
        <f>-B15*Supuestos!$B$6</f>
        <v>-12453510.720000003</v>
      </c>
      <c r="C18" s="13">
        <f>-C15*Supuestos!$B$6</f>
        <v>-13947932.006400006</v>
      </c>
      <c r="D18" s="13">
        <f>-D15*Supuestos!$B$6</f>
        <v>-15621683.847168006</v>
      </c>
      <c r="E18" s="13">
        <f>-E15*Supuestos!$B$6</f>
        <v>-17496285.908828169</v>
      </c>
      <c r="F18" s="13">
        <f>-F15*Supuestos!$B$6</f>
        <v>-19595840.217887551</v>
      </c>
      <c r="G18" s="13">
        <f>-G15*Supuestos!$B$6</f>
        <v>-21947341.044034056</v>
      </c>
      <c r="H18" s="13">
        <f>-H15*Supuestos!$B$6</f>
        <v>-24581021.969318148</v>
      </c>
      <c r="I18" s="13">
        <f>-I15*Supuestos!$B$6</f>
        <v>-27530744.605636325</v>
      </c>
      <c r="J18" s="13">
        <f>-J15*Supuestos!$B$6</f>
        <v>-30834433.958312687</v>
      </c>
      <c r="K18" s="13">
        <f>-K15*Supuestos!$B$6</f>
        <v>-34534566.033310212</v>
      </c>
      <c r="L18" s="14">
        <f>SUM(B18:K18)</f>
        <v>-218543360.31089517</v>
      </c>
    </row>
    <row r="19" spans="1:12" x14ac:dyDescent="0.3">
      <c r="A19" s="2" t="s">
        <v>41</v>
      </c>
      <c r="B19" s="13">
        <f>0</f>
        <v>0</v>
      </c>
      <c r="C19" s="13">
        <f>0</f>
        <v>0</v>
      </c>
      <c r="D19" s="13">
        <f>0</f>
        <v>0</v>
      </c>
      <c r="E19" s="13">
        <f>0</f>
        <v>0</v>
      </c>
      <c r="F19" s="13">
        <f>0</f>
        <v>0</v>
      </c>
      <c r="G19" s="13">
        <f>0</f>
        <v>0</v>
      </c>
      <c r="H19" s="13">
        <f>0</f>
        <v>0</v>
      </c>
      <c r="I19" s="13">
        <f>0</f>
        <v>0</v>
      </c>
      <c r="J19" s="13">
        <f>0</f>
        <v>0</v>
      </c>
      <c r="K19" s="13">
        <f>0</f>
        <v>0</v>
      </c>
      <c r="L19" s="14">
        <f>SUM(B19:K19)</f>
        <v>0</v>
      </c>
    </row>
    <row r="20" spans="1:12" x14ac:dyDescent="0.3">
      <c r="A20" s="3" t="s">
        <v>42</v>
      </c>
    </row>
    <row r="21" spans="1:12" x14ac:dyDescent="0.3">
      <c r="A21" s="2" t="s">
        <v>43</v>
      </c>
      <c r="B21" s="13">
        <f>-B15*Supuestos!$B$7</f>
        <v>-19340562.080000006</v>
      </c>
      <c r="C21" s="13">
        <f>-C15*Supuestos!$B$7</f>
        <v>-21661429.529600009</v>
      </c>
      <c r="D21" s="13">
        <f>-D15*Supuestos!$B$7</f>
        <v>-24260801.073152009</v>
      </c>
      <c r="E21" s="13">
        <f>-E15*Supuestos!$B$7</f>
        <v>-27172097.201930255</v>
      </c>
      <c r="F21" s="13">
        <f>-F15*Supuestos!$B$7</f>
        <v>-30432748.866161887</v>
      </c>
      <c r="G21" s="13">
        <f>-G15*Supuestos!$B$7</f>
        <v>-34084678.730101317</v>
      </c>
      <c r="H21" s="13">
        <f>-H15*Supuestos!$B$7</f>
        <v>-38174840.177713476</v>
      </c>
      <c r="I21" s="13">
        <f>-I15*Supuestos!$B$7</f>
        <v>-42755820.999039099</v>
      </c>
      <c r="J21" s="13">
        <f>-J15*Supuestos!$B$7</f>
        <v>-47886519.518923789</v>
      </c>
      <c r="K21" s="13">
        <f>-K15*Supuestos!$B$7</f>
        <v>-53632901.861194648</v>
      </c>
      <c r="L21" s="14">
        <f t="shared" ref="L21:L29" si="3">SUM(B21:K21)</f>
        <v>-339402400.03781646</v>
      </c>
    </row>
    <row r="22" spans="1:12" x14ac:dyDescent="0.3">
      <c r="A22" s="2" t="s">
        <v>44</v>
      </c>
      <c r="B22" s="13">
        <f>-B15*Supuestos!$B$8</f>
        <v>-1225191.0148800004</v>
      </c>
      <c r="C22" s="13">
        <f>-C15*Supuestos!$B$8</f>
        <v>-1372213.9366656006</v>
      </c>
      <c r="D22" s="13">
        <f>-D15*Supuestos!$B$8</f>
        <v>-1536879.6090654728</v>
      </c>
      <c r="E22" s="13">
        <f>-E15*Supuestos!$B$8</f>
        <v>-1721305.1621533297</v>
      </c>
      <c r="F22" s="13">
        <f>-F15*Supuestos!$B$8</f>
        <v>-1927861.7816117294</v>
      </c>
      <c r="G22" s="13">
        <f>-G15*Supuestos!$B$8</f>
        <v>-2159205.1954051368</v>
      </c>
      <c r="H22" s="13">
        <f>-H15*Supuestos!$B$8</f>
        <v>-2418309.8188537536</v>
      </c>
      <c r="I22" s="13">
        <f>-I15*Supuestos!$B$8</f>
        <v>-2708506.9971162039</v>
      </c>
      <c r="J22" s="13">
        <f>-J15*Supuestos!$B$8</f>
        <v>-3033527.8367701489</v>
      </c>
      <c r="K22" s="13">
        <f>-K15*Supuestos!$B$8</f>
        <v>-3397551.1771825668</v>
      </c>
      <c r="L22" s="14">
        <f t="shared" si="3"/>
        <v>-21500552.529703941</v>
      </c>
    </row>
    <row r="23" spans="1:12" x14ac:dyDescent="0.3">
      <c r="A23" s="2" t="s">
        <v>45</v>
      </c>
      <c r="B23" s="13">
        <f>0</f>
        <v>0</v>
      </c>
      <c r="C23" s="13">
        <f>0</f>
        <v>0</v>
      </c>
      <c r="D23" s="13">
        <f>0</f>
        <v>0</v>
      </c>
      <c r="E23" s="13">
        <f>0</f>
        <v>0</v>
      </c>
      <c r="F23" s="13">
        <f>0</f>
        <v>0</v>
      </c>
      <c r="G23" s="13">
        <f>0</f>
        <v>0</v>
      </c>
      <c r="H23" s="13">
        <f>0</f>
        <v>0</v>
      </c>
      <c r="I23" s="13">
        <f>0</f>
        <v>0</v>
      </c>
      <c r="J23" s="13">
        <f>0</f>
        <v>0</v>
      </c>
      <c r="K23" s="13">
        <f>0</f>
        <v>0</v>
      </c>
      <c r="L23" s="14">
        <f t="shared" si="3"/>
        <v>0</v>
      </c>
    </row>
    <row r="24" spans="1:12" x14ac:dyDescent="0.3">
      <c r="A24" s="2" t="s">
        <v>46</v>
      </c>
      <c r="B24" s="13">
        <f>0</f>
        <v>0</v>
      </c>
      <c r="C24" s="13">
        <f>0</f>
        <v>0</v>
      </c>
      <c r="D24" s="13">
        <f>0</f>
        <v>0</v>
      </c>
      <c r="E24" s="13">
        <f>0</f>
        <v>0</v>
      </c>
      <c r="F24" s="13">
        <f>0</f>
        <v>0</v>
      </c>
      <c r="G24" s="13">
        <f>0</f>
        <v>0</v>
      </c>
      <c r="H24" s="13">
        <f>0</f>
        <v>0</v>
      </c>
      <c r="I24" s="13">
        <f>0</f>
        <v>0</v>
      </c>
      <c r="J24" s="13">
        <f>0</f>
        <v>0</v>
      </c>
      <c r="K24" s="13">
        <f>0</f>
        <v>0</v>
      </c>
      <c r="L24" s="14">
        <f t="shared" si="3"/>
        <v>0</v>
      </c>
    </row>
    <row r="25" spans="1:12" x14ac:dyDescent="0.3">
      <c r="A25" s="2" t="s">
        <v>47</v>
      </c>
      <c r="B25" s="13">
        <f>-Supuestos!$B$10</f>
        <v>-496357</v>
      </c>
      <c r="C25" s="13">
        <f>-Supuestos!$B$10</f>
        <v>-496357</v>
      </c>
      <c r="D25" s="13">
        <f>-Supuestos!$B$10</f>
        <v>-496357</v>
      </c>
      <c r="E25" s="13">
        <f>-Supuestos!$B$10</f>
        <v>-496357</v>
      </c>
      <c r="F25" s="13">
        <f>-Supuestos!$B$10</f>
        <v>-496357</v>
      </c>
      <c r="G25" s="13">
        <f>-Supuestos!$B$10</f>
        <v>-496357</v>
      </c>
      <c r="H25" s="13">
        <f>-Supuestos!$B$10</f>
        <v>-496357</v>
      </c>
      <c r="I25" s="13">
        <f>-Supuestos!$B$10</f>
        <v>-496357</v>
      </c>
      <c r="J25" s="13">
        <f>-Supuestos!$B$10</f>
        <v>-496357</v>
      </c>
      <c r="K25" s="13">
        <f>-Supuestos!$B$10</f>
        <v>-496357</v>
      </c>
      <c r="L25" s="14">
        <f t="shared" si="3"/>
        <v>-4963570</v>
      </c>
    </row>
    <row r="26" spans="1:12" x14ac:dyDescent="0.3">
      <c r="A26" s="2" t="s">
        <v>48</v>
      </c>
      <c r="B26" s="13">
        <f>0</f>
        <v>0</v>
      </c>
      <c r="C26" s="13">
        <f>0</f>
        <v>0</v>
      </c>
      <c r="D26" s="13">
        <f>0</f>
        <v>0</v>
      </c>
      <c r="E26" s="13">
        <f>0</f>
        <v>0</v>
      </c>
      <c r="F26" s="13">
        <f>0</f>
        <v>0</v>
      </c>
      <c r="G26" s="13">
        <f>0</f>
        <v>0</v>
      </c>
      <c r="H26" s="13">
        <f>0</f>
        <v>0</v>
      </c>
      <c r="I26" s="13">
        <f>0</f>
        <v>0</v>
      </c>
      <c r="J26" s="13">
        <f>0</f>
        <v>0</v>
      </c>
      <c r="K26" s="13">
        <f>0</f>
        <v>0</v>
      </c>
      <c r="L26" s="14">
        <f t="shared" si="3"/>
        <v>0</v>
      </c>
    </row>
    <row r="27" spans="1:12" x14ac:dyDescent="0.3">
      <c r="A27" s="2" t="s">
        <v>49</v>
      </c>
      <c r="B27" s="13">
        <f>-B15*Supuestos!$B$9</f>
        <v>-2083327.6800000004</v>
      </c>
      <c r="C27" s="13">
        <f>-C15*Supuestos!$B$9</f>
        <v>-2333327.001600001</v>
      </c>
      <c r="D27" s="13">
        <f>-D15*Supuestos!$B$9</f>
        <v>-2613326.2417920013</v>
      </c>
      <c r="E27" s="13">
        <f>-E15*Supuestos!$B$9</f>
        <v>-2926925.3908070414</v>
      </c>
      <c r="F27" s="13">
        <f>-F15*Supuestos!$B$9</f>
        <v>-3278156.437703887</v>
      </c>
      <c r="G27" s="13">
        <f>-G15*Supuestos!$B$9</f>
        <v>-3671535.2102283533</v>
      </c>
      <c r="H27" s="13">
        <f>-H15*Supuestos!$B$9</f>
        <v>-4112119.4354557563</v>
      </c>
      <c r="I27" s="13">
        <f>-I15*Supuestos!$B$9</f>
        <v>-4605573.7677104473</v>
      </c>
      <c r="J27" s="13">
        <f>-J15*Supuestos!$B$9</f>
        <v>-5158242.6198357008</v>
      </c>
      <c r="K27" s="13">
        <f>-K15*Supuestos!$B$9</f>
        <v>-5777231.734215986</v>
      </c>
      <c r="L27" s="14">
        <f t="shared" si="3"/>
        <v>-36559765.519349173</v>
      </c>
    </row>
    <row r="28" spans="1:12" x14ac:dyDescent="0.3">
      <c r="A28" s="2" t="s">
        <v>50</v>
      </c>
      <c r="B28" s="13">
        <f>0</f>
        <v>0</v>
      </c>
      <c r="C28" s="13">
        <f>0</f>
        <v>0</v>
      </c>
      <c r="D28" s="13">
        <f>0</f>
        <v>0</v>
      </c>
      <c r="E28" s="13">
        <f>0</f>
        <v>0</v>
      </c>
      <c r="F28" s="13">
        <f>0</f>
        <v>0</v>
      </c>
      <c r="G28" s="13">
        <f>0</f>
        <v>0</v>
      </c>
      <c r="H28" s="13">
        <f>0</f>
        <v>0</v>
      </c>
      <c r="I28" s="13">
        <f>0</f>
        <v>0</v>
      </c>
      <c r="J28" s="13">
        <f>0</f>
        <v>0</v>
      </c>
      <c r="K28" s="13">
        <f>0</f>
        <v>0</v>
      </c>
      <c r="L28" s="14">
        <f t="shared" si="3"/>
        <v>0</v>
      </c>
    </row>
    <row r="29" spans="1:12" x14ac:dyDescent="0.3">
      <c r="A29" s="2" t="s">
        <v>51</v>
      </c>
      <c r="B29" s="13">
        <f>0</f>
        <v>0</v>
      </c>
      <c r="C29" s="13">
        <f>0</f>
        <v>0</v>
      </c>
      <c r="D29" s="13">
        <f>0</f>
        <v>0</v>
      </c>
      <c r="E29" s="13">
        <f>0</f>
        <v>0</v>
      </c>
      <c r="F29" s="13">
        <f>0</f>
        <v>0</v>
      </c>
      <c r="G29" s="13">
        <f>0</f>
        <v>0</v>
      </c>
      <c r="H29" s="13">
        <f>0</f>
        <v>0</v>
      </c>
      <c r="I29" s="13">
        <f>0</f>
        <v>0</v>
      </c>
      <c r="J29" s="13">
        <f>0</f>
        <v>0</v>
      </c>
      <c r="K29" s="13">
        <f>0</f>
        <v>0</v>
      </c>
      <c r="L29" s="14">
        <f t="shared" si="3"/>
        <v>0</v>
      </c>
    </row>
    <row r="30" spans="1:12" x14ac:dyDescent="0.3">
      <c r="A30" s="3" t="s">
        <v>52</v>
      </c>
    </row>
    <row r="31" spans="1:12" x14ac:dyDescent="0.3">
      <c r="A31" s="2" t="s">
        <v>53</v>
      </c>
      <c r="B31" s="13">
        <f>0</f>
        <v>0</v>
      </c>
      <c r="C31" s="13">
        <f>0</f>
        <v>0</v>
      </c>
      <c r="D31" s="13">
        <f>0</f>
        <v>0</v>
      </c>
      <c r="E31" s="13">
        <f>0</f>
        <v>0</v>
      </c>
      <c r="F31" s="13">
        <f>0</f>
        <v>0</v>
      </c>
      <c r="G31" s="13">
        <f>0</f>
        <v>0</v>
      </c>
      <c r="H31" s="13">
        <f>0</f>
        <v>0</v>
      </c>
      <c r="I31" s="13">
        <f>0</f>
        <v>0</v>
      </c>
      <c r="J31" s="13">
        <f>0</f>
        <v>0</v>
      </c>
      <c r="K31" s="13">
        <f>0</f>
        <v>0</v>
      </c>
      <c r="L31" s="14">
        <f>SUM(B31:K31)</f>
        <v>0</v>
      </c>
    </row>
    <row r="32" spans="1:12" x14ac:dyDescent="0.3">
      <c r="A32" s="2" t="s">
        <v>54</v>
      </c>
      <c r="B32" s="13">
        <f>-B50*Supuestos!$B$14</f>
        <v>-124081.69878966238</v>
      </c>
      <c r="C32" s="13">
        <f>-C50*Supuestos!$B$14</f>
        <v>0</v>
      </c>
      <c r="D32" s="13">
        <f>-D50*Supuestos!$B$14</f>
        <v>0</v>
      </c>
      <c r="E32" s="13">
        <f>-E50*Supuestos!$B$14</f>
        <v>0</v>
      </c>
      <c r="F32" s="13">
        <f>-F50*Supuestos!$B$14</f>
        <v>0</v>
      </c>
      <c r="G32" s="13">
        <f>-G50*Supuestos!$B$14</f>
        <v>0</v>
      </c>
      <c r="H32" s="13">
        <f>-H50*Supuestos!$B$14</f>
        <v>0</v>
      </c>
      <c r="I32" s="13">
        <f>-I50*Supuestos!$B$14</f>
        <v>0</v>
      </c>
      <c r="J32" s="13">
        <f>-J50*Supuestos!$B$14</f>
        <v>0</v>
      </c>
      <c r="K32" s="13">
        <f>-K50*Supuestos!$B$14</f>
        <v>0</v>
      </c>
      <c r="L32" s="14">
        <f>SUM(B32:K32)</f>
        <v>-124081.69878966238</v>
      </c>
    </row>
    <row r="33" spans="1:12" x14ac:dyDescent="0.3">
      <c r="A33" s="3" t="s">
        <v>55</v>
      </c>
      <c r="B33" s="13">
        <f>-MAX(0,B15+SUM(B18:B32))*Supuestos!$B$16</f>
        <v>0</v>
      </c>
      <c r="C33" s="13">
        <f>-MAX(0,C15+SUM(C18:C32))*Supuestos!$B$16</f>
        <v>0</v>
      </c>
      <c r="D33" s="13">
        <f>-MAX(0,D15+SUM(D18:D32))*Supuestos!$B$16</f>
        <v>-4546.8185496311635</v>
      </c>
      <c r="E33" s="13">
        <f>-MAX(0,E15+SUM(E18:E32))*Supuestos!$B$16</f>
        <v>-19983.146775586531</v>
      </c>
      <c r="F33" s="13">
        <f>-MAX(0,F15+SUM(F18:F32))*Supuestos!$B$16</f>
        <v>-37271.834388660267</v>
      </c>
      <c r="G33" s="13">
        <f>-MAX(0,G15+SUM(G18:G32))*Supuestos!$B$16</f>
        <v>-56635.16451529786</v>
      </c>
      <c r="H33" s="13">
        <f>-MAX(0,H15+SUM(H18:H32))*Supuestos!$B$16</f>
        <v>-78322.094257134944</v>
      </c>
      <c r="I33" s="13">
        <f>-MAX(0,I15+SUM(I18:I32))*Supuestos!$B$16</f>
        <v>-102611.45556798577</v>
      </c>
      <c r="J33" s="13">
        <f>-MAX(0,J15+SUM(J18:J32))*Supuestos!$B$16</f>
        <v>-129815.54023614526</v>
      </c>
      <c r="K33" s="13">
        <f>-MAX(0,K15+SUM(K18:K32))*Supuestos!$B$16</f>
        <v>-160284.11506448314</v>
      </c>
      <c r="L33" s="14">
        <f>SUM(B33:K33)</f>
        <v>-589470.16935492493</v>
      </c>
    </row>
    <row r="34" spans="1:12" x14ac:dyDescent="0.3">
      <c r="A34" s="3" t="s">
        <v>56</v>
      </c>
      <c r="B34" s="15">
        <f t="shared" ref="B34:K34" si="4">B15+SUM(B18:B33)</f>
        <v>-210247.15366967022</v>
      </c>
      <c r="C34" s="15">
        <f t="shared" si="4"/>
        <v>-36942.469465605915</v>
      </c>
      <c r="D34" s="15">
        <f t="shared" si="4"/>
        <v>13640.455648891628</v>
      </c>
      <c r="E34" s="15">
        <f t="shared" si="4"/>
        <v>59949.440326757729</v>
      </c>
      <c r="F34" s="15">
        <f t="shared" si="4"/>
        <v>111815.50316598266</v>
      </c>
      <c r="G34" s="15">
        <f t="shared" si="4"/>
        <v>169905.49354588985</v>
      </c>
      <c r="H34" s="15">
        <f t="shared" si="4"/>
        <v>234966.28277140856</v>
      </c>
      <c r="I34" s="15">
        <f t="shared" si="4"/>
        <v>307834.36670395732</v>
      </c>
      <c r="J34" s="15">
        <f t="shared" si="4"/>
        <v>389446.62070843577</v>
      </c>
      <c r="K34" s="15">
        <f t="shared" si="4"/>
        <v>480852.34519344568</v>
      </c>
      <c r="L34" s="14">
        <f>SUM(B34:K34)</f>
        <v>1521220.8849294931</v>
      </c>
    </row>
    <row r="35" spans="1:12" x14ac:dyDescent="0.3">
      <c r="A35" s="2" t="s">
        <v>57</v>
      </c>
      <c r="B35" s="13">
        <f>Supuestos!$B$17</f>
        <v>18172128</v>
      </c>
      <c r="C35" s="13">
        <f t="shared" ref="C35:K35" si="5">B48</f>
        <v>19207835.206330329</v>
      </c>
      <c r="D35" s="13">
        <f t="shared" si="5"/>
        <v>21701397.418464724</v>
      </c>
      <c r="E35" s="13">
        <f t="shared" si="5"/>
        <v>24525541.795905616</v>
      </c>
      <c r="F35" s="13">
        <f t="shared" si="5"/>
        <v>27709594.307039417</v>
      </c>
      <c r="G35" s="13">
        <f t="shared" si="5"/>
        <v>31296743.927909285</v>
      </c>
      <c r="H35" s="13">
        <f t="shared" si="5"/>
        <v>35335362.311683528</v>
      </c>
      <c r="I35" s="13">
        <f t="shared" si="5"/>
        <v>39879625.709910691</v>
      </c>
      <c r="J35" s="13">
        <f t="shared" si="5"/>
        <v>44990211.524325095</v>
      </c>
      <c r="K35" s="13">
        <f t="shared" si="5"/>
        <v>50735078.444869235</v>
      </c>
      <c r="L35" s="14">
        <f>B35</f>
        <v>18172128</v>
      </c>
    </row>
    <row r="36" spans="1:12" x14ac:dyDescent="0.3">
      <c r="A36" s="11" t="s">
        <v>58</v>
      </c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</row>
    <row r="37" spans="1:12" x14ac:dyDescent="0.3">
      <c r="A37" s="2" t="s">
        <v>59</v>
      </c>
      <c r="B37" s="13">
        <f t="shared" ref="B37:K37" si="6">-B25</f>
        <v>496357</v>
      </c>
      <c r="C37" s="13">
        <f t="shared" si="6"/>
        <v>496357</v>
      </c>
      <c r="D37" s="13">
        <f t="shared" si="6"/>
        <v>496357</v>
      </c>
      <c r="E37" s="13">
        <f t="shared" si="6"/>
        <v>496357</v>
      </c>
      <c r="F37" s="13">
        <f t="shared" si="6"/>
        <v>496357</v>
      </c>
      <c r="G37" s="13">
        <f t="shared" si="6"/>
        <v>496357</v>
      </c>
      <c r="H37" s="13">
        <f t="shared" si="6"/>
        <v>496357</v>
      </c>
      <c r="I37" s="13">
        <f t="shared" si="6"/>
        <v>496357</v>
      </c>
      <c r="J37" s="13">
        <f t="shared" si="6"/>
        <v>496357</v>
      </c>
      <c r="K37" s="13">
        <f t="shared" si="6"/>
        <v>496357</v>
      </c>
      <c r="L37" s="14">
        <f t="shared" ref="L37:L42" si="7">SUM(B37:K37)</f>
        <v>4963570</v>
      </c>
    </row>
    <row r="38" spans="1:12" x14ac:dyDescent="0.3">
      <c r="A38" s="2" t="s">
        <v>48</v>
      </c>
      <c r="B38" s="13">
        <f t="shared" ref="B38:K38" si="8">-B26</f>
        <v>0</v>
      </c>
      <c r="C38" s="13">
        <f t="shared" si="8"/>
        <v>0</v>
      </c>
      <c r="D38" s="13">
        <f t="shared" si="8"/>
        <v>0</v>
      </c>
      <c r="E38" s="13">
        <f t="shared" si="8"/>
        <v>0</v>
      </c>
      <c r="F38" s="13">
        <f t="shared" si="8"/>
        <v>0</v>
      </c>
      <c r="G38" s="13">
        <f t="shared" si="8"/>
        <v>0</v>
      </c>
      <c r="H38" s="13">
        <f t="shared" si="8"/>
        <v>0</v>
      </c>
      <c r="I38" s="13">
        <f t="shared" si="8"/>
        <v>0</v>
      </c>
      <c r="J38" s="13">
        <f t="shared" si="8"/>
        <v>0</v>
      </c>
      <c r="K38" s="13">
        <f t="shared" si="8"/>
        <v>0</v>
      </c>
      <c r="L38" s="14">
        <f t="shared" si="7"/>
        <v>0</v>
      </c>
    </row>
    <row r="39" spans="1:12" x14ac:dyDescent="0.3">
      <c r="A39" s="2" t="s">
        <v>60</v>
      </c>
      <c r="B39" s="13">
        <f t="shared" ref="B39:K39" si="9">-B27</f>
        <v>2083327.6800000004</v>
      </c>
      <c r="C39" s="13">
        <f t="shared" si="9"/>
        <v>2333327.001600001</v>
      </c>
      <c r="D39" s="13">
        <f t="shared" si="9"/>
        <v>2613326.2417920013</v>
      </c>
      <c r="E39" s="13">
        <f t="shared" si="9"/>
        <v>2926925.3908070414</v>
      </c>
      <c r="F39" s="13">
        <f t="shared" si="9"/>
        <v>3278156.437703887</v>
      </c>
      <c r="G39" s="13">
        <f t="shared" si="9"/>
        <v>3671535.2102283533</v>
      </c>
      <c r="H39" s="13">
        <f t="shared" si="9"/>
        <v>4112119.4354557563</v>
      </c>
      <c r="I39" s="13">
        <f t="shared" si="9"/>
        <v>4605573.7677104473</v>
      </c>
      <c r="J39" s="13">
        <f t="shared" si="9"/>
        <v>5158242.6198357008</v>
      </c>
      <c r="K39" s="13">
        <f t="shared" si="9"/>
        <v>5777231.734215986</v>
      </c>
      <c r="L39" s="14">
        <f t="shared" si="7"/>
        <v>36559765.519349173</v>
      </c>
    </row>
    <row r="40" spans="1:12" x14ac:dyDescent="0.3">
      <c r="A40" s="2" t="s">
        <v>61</v>
      </c>
      <c r="B40" s="13">
        <v>0</v>
      </c>
      <c r="C40" s="13">
        <f>0</f>
        <v>0</v>
      </c>
      <c r="D40" s="13">
        <f>0</f>
        <v>0</v>
      </c>
      <c r="E40" s="13">
        <f>0</f>
        <v>0</v>
      </c>
      <c r="F40" s="13">
        <f>0</f>
        <v>0</v>
      </c>
      <c r="G40" s="13">
        <f>0</f>
        <v>0</v>
      </c>
      <c r="H40" s="13">
        <f>0</f>
        <v>0</v>
      </c>
      <c r="I40" s="13">
        <f>0</f>
        <v>0</v>
      </c>
      <c r="J40" s="13">
        <f>0</f>
        <v>0</v>
      </c>
      <c r="K40" s="13">
        <f>0</f>
        <v>0</v>
      </c>
      <c r="L40" s="14">
        <f t="shared" si="7"/>
        <v>0</v>
      </c>
    </row>
    <row r="41" spans="1:12" x14ac:dyDescent="0.3">
      <c r="A41" s="2" t="s">
        <v>62</v>
      </c>
      <c r="B41" s="13">
        <f>0</f>
        <v>0</v>
      </c>
      <c r="C41" s="13">
        <f>0</f>
        <v>0</v>
      </c>
      <c r="D41" s="13">
        <f>0</f>
        <v>0</v>
      </c>
      <c r="E41" s="13">
        <f>0</f>
        <v>0</v>
      </c>
      <c r="F41" s="13">
        <f>0</f>
        <v>0</v>
      </c>
      <c r="G41" s="13">
        <f>0</f>
        <v>0</v>
      </c>
      <c r="H41" s="13">
        <f>0</f>
        <v>0</v>
      </c>
      <c r="I41" s="13">
        <f>0</f>
        <v>0</v>
      </c>
      <c r="J41" s="13">
        <f>0</f>
        <v>0</v>
      </c>
      <c r="K41" s="13">
        <f>0</f>
        <v>0</v>
      </c>
      <c r="L41" s="14">
        <f t="shared" si="7"/>
        <v>0</v>
      </c>
    </row>
    <row r="42" spans="1:12" x14ac:dyDescent="0.3">
      <c r="A42" s="2" t="s">
        <v>63</v>
      </c>
      <c r="B42" s="13">
        <f>0</f>
        <v>0</v>
      </c>
      <c r="C42" s="13">
        <f>0</f>
        <v>0</v>
      </c>
      <c r="D42" s="13">
        <f>0</f>
        <v>0</v>
      </c>
      <c r="E42" s="13">
        <f>0</f>
        <v>0</v>
      </c>
      <c r="F42" s="13">
        <f>0</f>
        <v>0</v>
      </c>
      <c r="G42" s="13">
        <f>0</f>
        <v>0</v>
      </c>
      <c r="H42" s="13">
        <f>0</f>
        <v>0</v>
      </c>
      <c r="I42" s="13">
        <f>0</f>
        <v>0</v>
      </c>
      <c r="J42" s="13">
        <f>0</f>
        <v>0</v>
      </c>
      <c r="K42" s="13">
        <f>0</f>
        <v>0</v>
      </c>
      <c r="L42" s="14">
        <f t="shared" si="7"/>
        <v>0</v>
      </c>
    </row>
    <row r="43" spans="1:12" x14ac:dyDescent="0.3">
      <c r="A43" s="11" t="s">
        <v>64</v>
      </c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</row>
    <row r="44" spans="1:12" x14ac:dyDescent="0.3">
      <c r="A44" s="2" t="s">
        <v>65</v>
      </c>
      <c r="B44" s="13">
        <f>0</f>
        <v>0</v>
      </c>
      <c r="C44" s="13">
        <f>0</f>
        <v>0</v>
      </c>
      <c r="D44" s="13">
        <f>0</f>
        <v>0</v>
      </c>
      <c r="E44" s="13">
        <f>0</f>
        <v>0</v>
      </c>
      <c r="F44" s="13">
        <f>0</f>
        <v>0</v>
      </c>
      <c r="G44" s="13">
        <f>0</f>
        <v>0</v>
      </c>
      <c r="H44" s="13">
        <f>0</f>
        <v>0</v>
      </c>
      <c r="I44" s="13">
        <f>0</f>
        <v>0</v>
      </c>
      <c r="J44" s="13">
        <f>0</f>
        <v>0</v>
      </c>
      <c r="K44" s="13">
        <f>0</f>
        <v>0</v>
      </c>
      <c r="L44" s="14">
        <f>SUM(B44:K44)</f>
        <v>0</v>
      </c>
    </row>
    <row r="45" spans="1:12" x14ac:dyDescent="0.3">
      <c r="A45" s="2" t="s">
        <v>66</v>
      </c>
      <c r="B45" s="13">
        <f t="shared" ref="B45:K45" si="10">-B50</f>
        <v>-1034551</v>
      </c>
      <c r="C45" s="13">
        <f t="shared" si="10"/>
        <v>0</v>
      </c>
      <c r="D45" s="13">
        <f t="shared" si="10"/>
        <v>0</v>
      </c>
      <c r="E45" s="13">
        <f t="shared" si="10"/>
        <v>0</v>
      </c>
      <c r="F45" s="13">
        <f t="shared" si="10"/>
        <v>0</v>
      </c>
      <c r="G45" s="13">
        <f t="shared" si="10"/>
        <v>0</v>
      </c>
      <c r="H45" s="13">
        <f t="shared" si="10"/>
        <v>0</v>
      </c>
      <c r="I45" s="13">
        <f t="shared" si="10"/>
        <v>0</v>
      </c>
      <c r="J45" s="13">
        <f t="shared" si="10"/>
        <v>0</v>
      </c>
      <c r="K45" s="13">
        <f t="shared" si="10"/>
        <v>0</v>
      </c>
      <c r="L45" s="14">
        <f>SUM(B45:K45)</f>
        <v>-1034551</v>
      </c>
    </row>
    <row r="46" spans="1:12" x14ac:dyDescent="0.3">
      <c r="A46" s="2" t="s">
        <v>67</v>
      </c>
      <c r="B46" s="13">
        <f>-Supuestos!$B$12</f>
        <v>-299179.32000000007</v>
      </c>
      <c r="C46" s="13">
        <f>-Supuestos!$B$12</f>
        <v>-299179.32000000007</v>
      </c>
      <c r="D46" s="13">
        <f>-Supuestos!$B$12</f>
        <v>-299179.32000000007</v>
      </c>
      <c r="E46" s="13">
        <f>-Supuestos!$B$12</f>
        <v>-299179.32000000007</v>
      </c>
      <c r="F46" s="13">
        <f>-Supuestos!$B$12</f>
        <v>-299179.32000000007</v>
      </c>
      <c r="G46" s="13">
        <f>-Supuestos!$B$12</f>
        <v>-299179.32000000007</v>
      </c>
      <c r="H46" s="13">
        <f>-Supuestos!$B$12</f>
        <v>-299179.32000000007</v>
      </c>
      <c r="I46" s="13">
        <f>-Supuestos!$B$12</f>
        <v>-299179.32000000007</v>
      </c>
      <c r="J46" s="13">
        <f>-Supuestos!$B$12</f>
        <v>-299179.32000000007</v>
      </c>
      <c r="K46" s="13">
        <f>-Supuestos!$B$12</f>
        <v>-299179.32000000007</v>
      </c>
      <c r="L46" s="14">
        <f>SUM(B46:K46)</f>
        <v>-2991793.2000000011</v>
      </c>
    </row>
    <row r="47" spans="1:12" x14ac:dyDescent="0.3">
      <c r="A47" s="3" t="s">
        <v>68</v>
      </c>
      <c r="B47" s="15">
        <f t="shared" ref="B47:K47" si="11">B34+SUM(B37:B46)</f>
        <v>1035707.2063303303</v>
      </c>
      <c r="C47" s="15">
        <f t="shared" si="11"/>
        <v>2493562.2121343948</v>
      </c>
      <c r="D47" s="15">
        <f t="shared" si="11"/>
        <v>2824144.3774408931</v>
      </c>
      <c r="E47" s="15">
        <f t="shared" si="11"/>
        <v>3184052.5111337993</v>
      </c>
      <c r="F47" s="15">
        <f t="shared" si="11"/>
        <v>3587149.6208698694</v>
      </c>
      <c r="G47" s="15">
        <f t="shared" si="11"/>
        <v>4038618.3837742433</v>
      </c>
      <c r="H47" s="15">
        <f t="shared" si="11"/>
        <v>4544263.3982271645</v>
      </c>
      <c r="I47" s="15">
        <f t="shared" si="11"/>
        <v>5110585.8144144043</v>
      </c>
      <c r="J47" s="15">
        <f t="shared" si="11"/>
        <v>5744866.9205441363</v>
      </c>
      <c r="K47" s="15">
        <f t="shared" si="11"/>
        <v>6455261.7594094314</v>
      </c>
      <c r="L47" s="14">
        <f>SUM(B47:K47)</f>
        <v>39018212.204278663</v>
      </c>
    </row>
    <row r="48" spans="1:12" x14ac:dyDescent="0.3">
      <c r="A48" s="3" t="s">
        <v>69</v>
      </c>
      <c r="B48" s="15">
        <f t="shared" ref="B48:K48" si="12">B35+B47</f>
        <v>19207835.206330329</v>
      </c>
      <c r="C48" s="15">
        <f t="shared" si="12"/>
        <v>21701397.418464724</v>
      </c>
      <c r="D48" s="15">
        <f t="shared" si="12"/>
        <v>24525541.795905616</v>
      </c>
      <c r="E48" s="15">
        <f t="shared" si="12"/>
        <v>27709594.307039417</v>
      </c>
      <c r="F48" s="15">
        <f t="shared" si="12"/>
        <v>31296743.927909285</v>
      </c>
      <c r="G48" s="15">
        <f t="shared" si="12"/>
        <v>35335362.311683528</v>
      </c>
      <c r="H48" s="15">
        <f t="shared" si="12"/>
        <v>39879625.709910691</v>
      </c>
      <c r="I48" s="15">
        <f t="shared" si="12"/>
        <v>44990211.524325095</v>
      </c>
      <c r="J48" s="15">
        <f t="shared" si="12"/>
        <v>50735078.444869235</v>
      </c>
      <c r="K48" s="15">
        <f t="shared" si="12"/>
        <v>57190340.204278663</v>
      </c>
      <c r="L48" s="14">
        <f>K48</f>
        <v>57190340.204278663</v>
      </c>
    </row>
    <row r="50" spans="1:12" x14ac:dyDescent="0.3">
      <c r="A50" s="2" t="s">
        <v>70</v>
      </c>
      <c r="B50" s="13">
        <f>Supuestos!$B$15</f>
        <v>1034551</v>
      </c>
      <c r="C50" s="13">
        <f t="shared" ref="C50:K50" si="13">B51</f>
        <v>0</v>
      </c>
      <c r="D50" s="13">
        <f t="shared" si="13"/>
        <v>0</v>
      </c>
      <c r="E50" s="13">
        <f t="shared" si="13"/>
        <v>0</v>
      </c>
      <c r="F50" s="13">
        <f t="shared" si="13"/>
        <v>0</v>
      </c>
      <c r="G50" s="13">
        <f t="shared" si="13"/>
        <v>0</v>
      </c>
      <c r="H50" s="13">
        <f t="shared" si="13"/>
        <v>0</v>
      </c>
      <c r="I50" s="13">
        <f t="shared" si="13"/>
        <v>0</v>
      </c>
      <c r="J50" s="13">
        <f t="shared" si="13"/>
        <v>0</v>
      </c>
      <c r="K50" s="13">
        <f t="shared" si="13"/>
        <v>0</v>
      </c>
      <c r="L50" s="14">
        <f>B50</f>
        <v>1034551</v>
      </c>
    </row>
    <row r="51" spans="1:12" x14ac:dyDescent="0.3">
      <c r="A51" s="2" t="s">
        <v>71</v>
      </c>
      <c r="B51" s="13">
        <f t="shared" ref="B51:K51" si="14">B50+B45</f>
        <v>0</v>
      </c>
      <c r="C51" s="13">
        <f t="shared" si="14"/>
        <v>0</v>
      </c>
      <c r="D51" s="13">
        <f t="shared" si="14"/>
        <v>0</v>
      </c>
      <c r="E51" s="13">
        <f t="shared" si="14"/>
        <v>0</v>
      </c>
      <c r="F51" s="13">
        <f t="shared" si="14"/>
        <v>0</v>
      </c>
      <c r="G51" s="13">
        <f t="shared" si="14"/>
        <v>0</v>
      </c>
      <c r="H51" s="13">
        <f t="shared" si="14"/>
        <v>0</v>
      </c>
      <c r="I51" s="13">
        <f t="shared" si="14"/>
        <v>0</v>
      </c>
      <c r="J51" s="13">
        <f t="shared" si="14"/>
        <v>0</v>
      </c>
      <c r="K51" s="13">
        <f t="shared" si="14"/>
        <v>0</v>
      </c>
      <c r="L51" s="14">
        <f>K51</f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51"/>
  <sheetViews>
    <sheetView showGridLines="0" tabSelected="1" zoomScale="99" zoomScaleNormal="100" workbookViewId="0">
      <pane ySplit="1" topLeftCell="A26" activePane="bottomLeft" state="frozen"/>
      <selection pane="bottomLeft" activeCell="A51" sqref="A51"/>
    </sheetView>
  </sheetViews>
  <sheetFormatPr baseColWidth="10" defaultColWidth="8.6640625" defaultRowHeight="14.4" x14ac:dyDescent="0.3"/>
  <cols>
    <col min="1" max="1" width="70" customWidth="1"/>
    <col min="2" max="14" width="14" customWidth="1"/>
    <col min="15" max="15" width="3" customWidth="1"/>
    <col min="16" max="16" width="24" customWidth="1"/>
  </cols>
  <sheetData>
    <row r="1" spans="1:16" x14ac:dyDescent="0.3">
      <c r="A1" s="1"/>
      <c r="D1" s="1" t="s">
        <v>0</v>
      </c>
    </row>
    <row r="2" spans="1:16" x14ac:dyDescent="0.3">
      <c r="A2" s="2"/>
    </row>
    <row r="3" spans="1:16" x14ac:dyDescent="0.3">
      <c r="A3" s="3" t="s">
        <v>2</v>
      </c>
      <c r="B3" s="3" t="s">
        <v>72</v>
      </c>
    </row>
    <row r="4" spans="1:16" x14ac:dyDescent="0.3">
      <c r="A4" s="3" t="s">
        <v>3</v>
      </c>
      <c r="B4" s="2" t="s">
        <v>4</v>
      </c>
      <c r="D4" s="4" t="s">
        <v>5</v>
      </c>
    </row>
    <row r="6" spans="1:16" ht="30" customHeight="1" x14ac:dyDescent="0.3">
      <c r="A6" s="5" t="s">
        <v>73</v>
      </c>
      <c r="B6" s="6" t="s">
        <v>74</v>
      </c>
      <c r="C6" s="6" t="s">
        <v>75</v>
      </c>
      <c r="D6" s="6" t="s">
        <v>76</v>
      </c>
      <c r="E6" s="6" t="s">
        <v>77</v>
      </c>
      <c r="F6" s="6" t="s">
        <v>78</v>
      </c>
      <c r="G6" s="6" t="s">
        <v>79</v>
      </c>
      <c r="H6" s="6" t="s">
        <v>80</v>
      </c>
      <c r="I6" s="6" t="s">
        <v>81</v>
      </c>
      <c r="J6" s="6" t="s">
        <v>82</v>
      </c>
      <c r="K6" s="6" t="s">
        <v>83</v>
      </c>
      <c r="L6" s="6" t="s">
        <v>84</v>
      </c>
      <c r="M6" s="6" t="s">
        <v>85</v>
      </c>
      <c r="N6" s="6" t="s">
        <v>17</v>
      </c>
      <c r="P6" s="7" t="s">
        <v>86</v>
      </c>
    </row>
    <row r="7" spans="1:16" x14ac:dyDescent="0.3">
      <c r="A7" s="5"/>
      <c r="B7" s="6" t="s">
        <v>87</v>
      </c>
      <c r="C7" s="6" t="s">
        <v>88</v>
      </c>
      <c r="D7" s="6" t="s">
        <v>89</v>
      </c>
      <c r="E7" s="6" t="s">
        <v>90</v>
      </c>
      <c r="F7" s="6" t="s">
        <v>91</v>
      </c>
      <c r="G7" s="6" t="s">
        <v>92</v>
      </c>
      <c r="H7" s="6" t="s">
        <v>93</v>
      </c>
      <c r="I7" s="6" t="s">
        <v>94</v>
      </c>
      <c r="J7" s="6" t="s">
        <v>95</v>
      </c>
      <c r="K7" s="6" t="s">
        <v>96</v>
      </c>
      <c r="L7" s="6" t="s">
        <v>97</v>
      </c>
      <c r="M7" s="6" t="s">
        <v>98</v>
      </c>
      <c r="N7" s="6" t="s">
        <v>99</v>
      </c>
      <c r="P7" s="8"/>
    </row>
    <row r="8" spans="1:16" ht="15" customHeight="1" x14ac:dyDescent="0.3">
      <c r="A8" t="s">
        <v>30</v>
      </c>
      <c r="B8" s="9">
        <f t="shared" ref="B8:M8" si="0">$P$8</f>
        <v>3.7400000000000003E-2</v>
      </c>
      <c r="C8" s="9">
        <f t="shared" si="0"/>
        <v>3.7400000000000003E-2</v>
      </c>
      <c r="D8" s="9">
        <f t="shared" si="0"/>
        <v>3.7400000000000003E-2</v>
      </c>
      <c r="E8" s="9">
        <f t="shared" si="0"/>
        <v>3.7400000000000003E-2</v>
      </c>
      <c r="F8" s="9">
        <f t="shared" si="0"/>
        <v>3.7400000000000003E-2</v>
      </c>
      <c r="G8" s="9">
        <f t="shared" si="0"/>
        <v>3.7400000000000003E-2</v>
      </c>
      <c r="H8" s="9">
        <f t="shared" si="0"/>
        <v>3.7400000000000003E-2</v>
      </c>
      <c r="I8" s="9">
        <f t="shared" si="0"/>
        <v>3.7400000000000003E-2</v>
      </c>
      <c r="J8" s="9">
        <f t="shared" si="0"/>
        <v>3.7400000000000003E-2</v>
      </c>
      <c r="K8" s="9">
        <f t="shared" si="0"/>
        <v>3.7400000000000003E-2</v>
      </c>
      <c r="L8" s="9">
        <f t="shared" si="0"/>
        <v>3.7400000000000003E-2</v>
      </c>
      <c r="M8" s="9">
        <f t="shared" si="0"/>
        <v>3.7400000000000003E-2</v>
      </c>
      <c r="P8" s="10">
        <v>3.7400000000000003E-2</v>
      </c>
    </row>
    <row r="9" spans="1:16" x14ac:dyDescent="0.3">
      <c r="A9" s="11" t="s">
        <v>31</v>
      </c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</row>
    <row r="10" spans="1:16" x14ac:dyDescent="0.3">
      <c r="A10" s="3" t="s">
        <v>32</v>
      </c>
    </row>
    <row r="11" spans="1:16" x14ac:dyDescent="0.3">
      <c r="A11" s="2" t="s">
        <v>33</v>
      </c>
      <c r="B11" s="13">
        <f>Supuestos!$B$5*(1+B8)</f>
        <v>2741142.9409000003</v>
      </c>
      <c r="C11" s="13">
        <f t="shared" ref="C11:M11" si="1">B11*(1+C8)</f>
        <v>2843661.6868896605</v>
      </c>
      <c r="D11" s="13">
        <f t="shared" si="1"/>
        <v>2950014.633979334</v>
      </c>
      <c r="E11" s="13">
        <f t="shared" si="1"/>
        <v>3060345.1812901613</v>
      </c>
      <c r="F11" s="13">
        <f t="shared" si="1"/>
        <v>3174802.0910704136</v>
      </c>
      <c r="G11" s="13">
        <f t="shared" si="1"/>
        <v>3293539.6892764475</v>
      </c>
      <c r="H11" s="13">
        <f t="shared" si="1"/>
        <v>3416718.0736553869</v>
      </c>
      <c r="I11" s="13">
        <f t="shared" si="1"/>
        <v>3544503.3296100986</v>
      </c>
      <c r="J11" s="13">
        <f t="shared" si="1"/>
        <v>3677067.7541375165</v>
      </c>
      <c r="K11" s="13">
        <f t="shared" si="1"/>
        <v>3814590.08814226</v>
      </c>
      <c r="L11" s="13">
        <f t="shared" si="1"/>
        <v>3957255.7574387807</v>
      </c>
      <c r="M11" s="13">
        <f t="shared" si="1"/>
        <v>4105257.1227669916</v>
      </c>
      <c r="N11" s="14">
        <f>SUM(B11:M11)</f>
        <v>40578898.34915705</v>
      </c>
    </row>
    <row r="12" spans="1:16" x14ac:dyDescent="0.3">
      <c r="A12" s="2" t="s">
        <v>34</v>
      </c>
      <c r="B12" s="13">
        <f>0</f>
        <v>0</v>
      </c>
      <c r="C12" s="13">
        <f>0</f>
        <v>0</v>
      </c>
      <c r="D12" s="13">
        <f>0</f>
        <v>0</v>
      </c>
      <c r="E12" s="13">
        <f>0</f>
        <v>0</v>
      </c>
      <c r="F12" s="13">
        <f>0</f>
        <v>0</v>
      </c>
      <c r="G12" s="13">
        <f>0</f>
        <v>0</v>
      </c>
      <c r="H12" s="13">
        <f>0</f>
        <v>0</v>
      </c>
      <c r="I12" s="13">
        <f>0</f>
        <v>0</v>
      </c>
      <c r="J12" s="13">
        <f>0</f>
        <v>0</v>
      </c>
      <c r="K12" s="13">
        <f>0</f>
        <v>0</v>
      </c>
      <c r="L12" s="13">
        <f>0</f>
        <v>0</v>
      </c>
      <c r="M12" s="13">
        <f>0</f>
        <v>0</v>
      </c>
      <c r="N12" s="14">
        <f>SUM(B12:M12)</f>
        <v>0</v>
      </c>
    </row>
    <row r="13" spans="1:16" x14ac:dyDescent="0.3">
      <c r="A13" s="3" t="s">
        <v>35</v>
      </c>
    </row>
    <row r="14" spans="1:16" x14ac:dyDescent="0.3">
      <c r="A14" s="2" t="s">
        <v>36</v>
      </c>
      <c r="B14" s="13">
        <f>0</f>
        <v>0</v>
      </c>
      <c r="C14" s="13">
        <f>0</f>
        <v>0</v>
      </c>
      <c r="D14" s="13">
        <f>0</f>
        <v>0</v>
      </c>
      <c r="E14" s="13">
        <f>0</f>
        <v>0</v>
      </c>
      <c r="F14" s="13">
        <f>0</f>
        <v>0</v>
      </c>
      <c r="G14" s="13">
        <f>0</f>
        <v>0</v>
      </c>
      <c r="H14" s="13">
        <f>0</f>
        <v>0</v>
      </c>
      <c r="I14" s="13">
        <f>0</f>
        <v>0</v>
      </c>
      <c r="J14" s="13">
        <f>0</f>
        <v>0</v>
      </c>
      <c r="K14" s="13">
        <f>0</f>
        <v>0</v>
      </c>
      <c r="L14" s="13">
        <f>0</f>
        <v>0</v>
      </c>
      <c r="M14" s="13">
        <f>0</f>
        <v>0</v>
      </c>
      <c r="N14" s="14">
        <f>SUM(B14:M14)</f>
        <v>0</v>
      </c>
    </row>
    <row r="15" spans="1:16" x14ac:dyDescent="0.3">
      <c r="A15" s="3" t="s">
        <v>37</v>
      </c>
      <c r="B15" s="15">
        <f t="shared" ref="B15:M15" si="2">B11+B12+B14</f>
        <v>2741142.9409000003</v>
      </c>
      <c r="C15" s="15">
        <f t="shared" si="2"/>
        <v>2843661.6868896605</v>
      </c>
      <c r="D15" s="15">
        <f t="shared" si="2"/>
        <v>2950014.633979334</v>
      </c>
      <c r="E15" s="15">
        <f t="shared" si="2"/>
        <v>3060345.1812901613</v>
      </c>
      <c r="F15" s="15">
        <f t="shared" si="2"/>
        <v>3174802.0910704136</v>
      </c>
      <c r="G15" s="15">
        <f t="shared" si="2"/>
        <v>3293539.6892764475</v>
      </c>
      <c r="H15" s="15">
        <f t="shared" si="2"/>
        <v>3416718.0736553869</v>
      </c>
      <c r="I15" s="15">
        <f t="shared" si="2"/>
        <v>3544503.3296100986</v>
      </c>
      <c r="J15" s="15">
        <f t="shared" si="2"/>
        <v>3677067.7541375165</v>
      </c>
      <c r="K15" s="15">
        <f t="shared" si="2"/>
        <v>3814590.08814226</v>
      </c>
      <c r="L15" s="15">
        <f t="shared" si="2"/>
        <v>3957255.7574387807</v>
      </c>
      <c r="M15" s="15">
        <f t="shared" si="2"/>
        <v>4105257.1227669916</v>
      </c>
      <c r="N15" s="14">
        <f>SUM(B15:M15)</f>
        <v>40578898.34915705</v>
      </c>
    </row>
    <row r="16" spans="1:16" x14ac:dyDescent="0.3">
      <c r="A16" s="11" t="s">
        <v>38</v>
      </c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</row>
    <row r="17" spans="1:14" x14ac:dyDescent="0.3">
      <c r="A17" s="3" t="s">
        <v>39</v>
      </c>
    </row>
    <row r="18" spans="1:14" x14ac:dyDescent="0.3">
      <c r="A18" s="2" t="s">
        <v>40</v>
      </c>
      <c r="B18" s="13">
        <f>-B15*Supuestos!$B$6</f>
        <v>-961255.3587000001</v>
      </c>
      <c r="C18" s="13">
        <f>-C15*Supuestos!$B$6</f>
        <v>-997206.30911538017</v>
      </c>
      <c r="D18" s="13">
        <f>-D15*Supuestos!$B$6</f>
        <v>-1034501.8250762955</v>
      </c>
      <c r="E18" s="13">
        <f>-E15*Supuestos!$B$6</f>
        <v>-1073192.193334149</v>
      </c>
      <c r="F18" s="13">
        <f>-F15*Supuestos!$B$6</f>
        <v>-1113329.5813648463</v>
      </c>
      <c r="G18" s="13">
        <f>-G15*Supuestos!$B$6</f>
        <v>-1154968.1077078916</v>
      </c>
      <c r="H18" s="13">
        <f>-H15*Supuestos!$B$6</f>
        <v>-1198163.914936167</v>
      </c>
      <c r="I18" s="13">
        <f>-I15*Supuestos!$B$6</f>
        <v>-1242975.2453547798</v>
      </c>
      <c r="J18" s="13">
        <f>-J15*Supuestos!$B$6</f>
        <v>-1289462.5195310484</v>
      </c>
      <c r="K18" s="13">
        <f>-K15*Supuestos!$B$6</f>
        <v>-1337688.4177615098</v>
      </c>
      <c r="L18" s="13">
        <f>-L15*Supuestos!$B$6</f>
        <v>-1387717.9645857904</v>
      </c>
      <c r="M18" s="13">
        <f>-M15*Supuestos!$B$6</f>
        <v>-1439618.6164612991</v>
      </c>
      <c r="N18" s="14">
        <f>SUM(B18:M18)</f>
        <v>-14230080.053929159</v>
      </c>
    </row>
    <row r="19" spans="1:14" x14ac:dyDescent="0.3">
      <c r="A19" s="2" t="s">
        <v>41</v>
      </c>
      <c r="B19" s="13">
        <f>0</f>
        <v>0</v>
      </c>
      <c r="C19" s="13">
        <f>0</f>
        <v>0</v>
      </c>
      <c r="D19" s="13">
        <f>0</f>
        <v>0</v>
      </c>
      <c r="E19" s="13">
        <f>0</f>
        <v>0</v>
      </c>
      <c r="F19" s="13">
        <f>0</f>
        <v>0</v>
      </c>
      <c r="G19" s="13">
        <f>0</f>
        <v>0</v>
      </c>
      <c r="H19" s="13">
        <f>0</f>
        <v>0</v>
      </c>
      <c r="I19" s="13">
        <f>0</f>
        <v>0</v>
      </c>
      <c r="J19" s="13">
        <f>0</f>
        <v>0</v>
      </c>
      <c r="K19" s="13">
        <f>0</f>
        <v>0</v>
      </c>
      <c r="L19" s="13">
        <f>0</f>
        <v>0</v>
      </c>
      <c r="M19" s="13">
        <f>0</f>
        <v>0</v>
      </c>
      <c r="N19" s="14">
        <f>SUM(B19:M19)</f>
        <v>0</v>
      </c>
    </row>
    <row r="20" spans="1:14" x14ac:dyDescent="0.3">
      <c r="A20" s="3" t="s">
        <v>42</v>
      </c>
    </row>
    <row r="21" spans="1:14" x14ac:dyDescent="0.3">
      <c r="A21" s="2" t="s">
        <v>43</v>
      </c>
      <c r="B21" s="13">
        <f>-B15*Supuestos!$B$7</f>
        <v>-1492849.6355500002</v>
      </c>
      <c r="C21" s="13">
        <f>-C15*Supuestos!$B$7</f>
        <v>-1548682.2119195703</v>
      </c>
      <c r="D21" s="13">
        <f>-D15*Supuestos!$B$7</f>
        <v>-1606602.9266453625</v>
      </c>
      <c r="E21" s="13">
        <f>-E15*Supuestos!$B$7</f>
        <v>-1666689.876101899</v>
      </c>
      <c r="F21" s="13">
        <f>-F15*Supuestos!$B$7</f>
        <v>-1729024.0774681102</v>
      </c>
      <c r="G21" s="13">
        <f>-G15*Supuestos!$B$7</f>
        <v>-1793689.5779654179</v>
      </c>
      <c r="H21" s="13">
        <f>-H15*Supuestos!$B$7</f>
        <v>-1860773.5681813245</v>
      </c>
      <c r="I21" s="13">
        <f>-I15*Supuestos!$B$7</f>
        <v>-1930366.4996313062</v>
      </c>
      <c r="J21" s="13">
        <f>-J15*Supuestos!$B$7</f>
        <v>-2002562.2067175172</v>
      </c>
      <c r="K21" s="13">
        <f>-K15*Supuestos!$B$7</f>
        <v>-2077458.0332487526</v>
      </c>
      <c r="L21" s="13">
        <f>-L15*Supuestos!$B$7</f>
        <v>-2155154.9636922558</v>
      </c>
      <c r="M21" s="13">
        <f>-M15*Supuestos!$B$7</f>
        <v>-2235757.7593343467</v>
      </c>
      <c r="N21" s="14">
        <f t="shared" ref="N21:N29" si="3">SUM(B21:M21)</f>
        <v>-22099611.336455867</v>
      </c>
    </row>
    <row r="22" spans="1:14" x14ac:dyDescent="0.3">
      <c r="A22" s="2" t="s">
        <v>44</v>
      </c>
      <c r="B22" s="13">
        <f>-B15*Supuestos!$B$8</f>
        <v>-94569.431461050015</v>
      </c>
      <c r="C22" s="13">
        <f>-C15*Supuestos!$B$8</f>
        <v>-98106.328197693292</v>
      </c>
      <c r="D22" s="13">
        <f>-D15*Supuestos!$B$8</f>
        <v>-101775.50487228703</v>
      </c>
      <c r="E22" s="13">
        <f>-E15*Supuestos!$B$8</f>
        <v>-105581.90875451057</v>
      </c>
      <c r="F22" s="13">
        <f>-F15*Supuestos!$B$8</f>
        <v>-109530.67214192927</v>
      </c>
      <c r="G22" s="13">
        <f>-G15*Supuestos!$B$8</f>
        <v>-113627.11928003746</v>
      </c>
      <c r="H22" s="13">
        <f>-H15*Supuestos!$B$8</f>
        <v>-117876.77354111086</v>
      </c>
      <c r="I22" s="13">
        <f>-I15*Supuestos!$B$8</f>
        <v>-122285.36487154842</v>
      </c>
      <c r="J22" s="13">
        <f>-J15*Supuestos!$B$8</f>
        <v>-126858.83751774432</v>
      </c>
      <c r="K22" s="13">
        <f>-K15*Supuestos!$B$8</f>
        <v>-131603.35804090797</v>
      </c>
      <c r="L22" s="13">
        <f>-L15*Supuestos!$B$8</f>
        <v>-136525.32363163793</v>
      </c>
      <c r="M22" s="13">
        <f>-M15*Supuestos!$B$8</f>
        <v>-141631.37073546121</v>
      </c>
      <c r="N22" s="14">
        <f t="shared" si="3"/>
        <v>-1399971.9930459182</v>
      </c>
    </row>
    <row r="23" spans="1:14" x14ac:dyDescent="0.3">
      <c r="A23" s="2" t="s">
        <v>45</v>
      </c>
      <c r="B23" s="13">
        <f>0</f>
        <v>0</v>
      </c>
      <c r="C23" s="13">
        <f>0</f>
        <v>0</v>
      </c>
      <c r="D23" s="13">
        <f>0</f>
        <v>0</v>
      </c>
      <c r="E23" s="13">
        <f>0</f>
        <v>0</v>
      </c>
      <c r="F23" s="13">
        <f>0</f>
        <v>0</v>
      </c>
      <c r="G23" s="13">
        <f>0</f>
        <v>0</v>
      </c>
      <c r="H23" s="13">
        <f>0</f>
        <v>0</v>
      </c>
      <c r="I23" s="13">
        <f>0</f>
        <v>0</v>
      </c>
      <c r="J23" s="13">
        <f>0</f>
        <v>0</v>
      </c>
      <c r="K23" s="13">
        <f>0</f>
        <v>0</v>
      </c>
      <c r="L23" s="13">
        <f>0</f>
        <v>0</v>
      </c>
      <c r="M23" s="13">
        <f>0</f>
        <v>0</v>
      </c>
      <c r="N23" s="14">
        <f t="shared" si="3"/>
        <v>0</v>
      </c>
    </row>
    <row r="24" spans="1:14" x14ac:dyDescent="0.3">
      <c r="A24" s="2" t="s">
        <v>46</v>
      </c>
      <c r="B24" s="13">
        <f>0</f>
        <v>0</v>
      </c>
      <c r="C24" s="13">
        <f>0</f>
        <v>0</v>
      </c>
      <c r="D24" s="13">
        <f>0</f>
        <v>0</v>
      </c>
      <c r="E24" s="13">
        <f>0</f>
        <v>0</v>
      </c>
      <c r="F24" s="13">
        <f>0</f>
        <v>0</v>
      </c>
      <c r="G24" s="13">
        <f>0</f>
        <v>0</v>
      </c>
      <c r="H24" s="13">
        <f>0</f>
        <v>0</v>
      </c>
      <c r="I24" s="13">
        <f>0</f>
        <v>0</v>
      </c>
      <c r="J24" s="13">
        <f>0</f>
        <v>0</v>
      </c>
      <c r="K24" s="13">
        <f>0</f>
        <v>0</v>
      </c>
      <c r="L24" s="13">
        <f>0</f>
        <v>0</v>
      </c>
      <c r="M24" s="13">
        <f>0</f>
        <v>0</v>
      </c>
      <c r="N24" s="14">
        <f t="shared" si="3"/>
        <v>0</v>
      </c>
    </row>
    <row r="25" spans="1:14" x14ac:dyDescent="0.3">
      <c r="A25" s="2" t="s">
        <v>47</v>
      </c>
      <c r="B25" s="13">
        <f>-Supuestos!$B$11</f>
        <v>-41363.083333333336</v>
      </c>
      <c r="C25" s="13">
        <f>-Supuestos!$B$11</f>
        <v>-41363.083333333336</v>
      </c>
      <c r="D25" s="13">
        <f>-Supuestos!$B$11</f>
        <v>-41363.083333333336</v>
      </c>
      <c r="E25" s="13">
        <f>-Supuestos!$B$11</f>
        <v>-41363.083333333336</v>
      </c>
      <c r="F25" s="13">
        <f>-Supuestos!$B$11</f>
        <v>-41363.083333333336</v>
      </c>
      <c r="G25" s="13">
        <f>-Supuestos!$B$11</f>
        <v>-41363.083333333336</v>
      </c>
      <c r="H25" s="13">
        <f>-Supuestos!$B$11</f>
        <v>-41363.083333333336</v>
      </c>
      <c r="I25" s="13">
        <f>-Supuestos!$B$11</f>
        <v>-41363.083333333336</v>
      </c>
      <c r="J25" s="13">
        <f>-Supuestos!$B$11</f>
        <v>-41363.083333333336</v>
      </c>
      <c r="K25" s="13">
        <f>-Supuestos!$B$11</f>
        <v>-41363.083333333336</v>
      </c>
      <c r="L25" s="13">
        <f>-Supuestos!$B$11</f>
        <v>-41363.083333333336</v>
      </c>
      <c r="M25" s="13">
        <f>-Supuestos!$B$11</f>
        <v>-41363.083333333336</v>
      </c>
      <c r="N25" s="14">
        <f t="shared" si="3"/>
        <v>-496356.99999999994</v>
      </c>
    </row>
    <row r="26" spans="1:14" x14ac:dyDescent="0.3">
      <c r="A26" s="2" t="s">
        <v>48</v>
      </c>
      <c r="B26" s="13">
        <f>0</f>
        <v>0</v>
      </c>
      <c r="C26" s="13">
        <f>0</f>
        <v>0</v>
      </c>
      <c r="D26" s="13">
        <f>0</f>
        <v>0</v>
      </c>
      <c r="E26" s="13">
        <f>0</f>
        <v>0</v>
      </c>
      <c r="F26" s="13">
        <f>0</f>
        <v>0</v>
      </c>
      <c r="G26" s="13">
        <f>0</f>
        <v>0</v>
      </c>
      <c r="H26" s="13">
        <f>0</f>
        <v>0</v>
      </c>
      <c r="I26" s="13">
        <f>0</f>
        <v>0</v>
      </c>
      <c r="J26" s="13">
        <f>0</f>
        <v>0</v>
      </c>
      <c r="K26" s="13">
        <f>0</f>
        <v>0</v>
      </c>
      <c r="L26" s="13">
        <f>0</f>
        <v>0</v>
      </c>
      <c r="M26" s="13">
        <f>0</f>
        <v>0</v>
      </c>
      <c r="N26" s="14">
        <f t="shared" si="3"/>
        <v>0</v>
      </c>
    </row>
    <row r="27" spans="1:14" x14ac:dyDescent="0.3">
      <c r="A27" s="2" t="s">
        <v>49</v>
      </c>
      <c r="B27" s="13">
        <f>-B15*Supuestos!$B$9</f>
        <v>-160806.85530000002</v>
      </c>
      <c r="C27" s="13">
        <f>-C15*Supuestos!$B$9</f>
        <v>-166821.03168822004</v>
      </c>
      <c r="D27" s="13">
        <f>-D15*Supuestos!$B$9</f>
        <v>-173060.13827335948</v>
      </c>
      <c r="E27" s="13">
        <f>-E15*Supuestos!$B$9</f>
        <v>-179532.58744478313</v>
      </c>
      <c r="F27" s="13">
        <f>-F15*Supuestos!$B$9</f>
        <v>-186247.10621521805</v>
      </c>
      <c r="G27" s="13">
        <f>-G15*Supuestos!$B$9</f>
        <v>-193212.74798766722</v>
      </c>
      <c r="H27" s="13">
        <f>-H15*Supuestos!$B$9</f>
        <v>-200438.90476240599</v>
      </c>
      <c r="I27" s="13">
        <f>-I15*Supuestos!$B$9</f>
        <v>-207935.31980052</v>
      </c>
      <c r="J27" s="13">
        <f>-J15*Supuestos!$B$9</f>
        <v>-215712.10076105944</v>
      </c>
      <c r="K27" s="13">
        <f>-K15*Supuestos!$B$9</f>
        <v>-223779.73332952309</v>
      </c>
      <c r="L27" s="13">
        <f>-L15*Supuestos!$B$9</f>
        <v>-232149.09535604727</v>
      </c>
      <c r="M27" s="13">
        <f>-M15*Supuestos!$B$9</f>
        <v>-240831.47152236346</v>
      </c>
      <c r="N27" s="14">
        <f t="shared" si="3"/>
        <v>-2380527.0924411672</v>
      </c>
    </row>
    <row r="28" spans="1:14" x14ac:dyDescent="0.3">
      <c r="A28" s="2" t="s">
        <v>50</v>
      </c>
      <c r="B28" s="13">
        <f>0</f>
        <v>0</v>
      </c>
      <c r="C28" s="13">
        <f>0</f>
        <v>0</v>
      </c>
      <c r="D28" s="13">
        <f>0</f>
        <v>0</v>
      </c>
      <c r="E28" s="13">
        <f>0</f>
        <v>0</v>
      </c>
      <c r="F28" s="13">
        <f>0</f>
        <v>0</v>
      </c>
      <c r="G28" s="13">
        <f>0</f>
        <v>0</v>
      </c>
      <c r="H28" s="13">
        <f>0</f>
        <v>0</v>
      </c>
      <c r="I28" s="13">
        <f>0</f>
        <v>0</v>
      </c>
      <c r="J28" s="13">
        <f>0</f>
        <v>0</v>
      </c>
      <c r="K28" s="13">
        <f>0</f>
        <v>0</v>
      </c>
      <c r="L28" s="13">
        <f>0</f>
        <v>0</v>
      </c>
      <c r="M28" s="13">
        <f>0</f>
        <v>0</v>
      </c>
      <c r="N28" s="14">
        <f t="shared" si="3"/>
        <v>0</v>
      </c>
    </row>
    <row r="29" spans="1:14" x14ac:dyDescent="0.3">
      <c r="A29" s="2" t="s">
        <v>51</v>
      </c>
      <c r="B29" s="13">
        <f>0</f>
        <v>0</v>
      </c>
      <c r="C29" s="13">
        <f>0</f>
        <v>0</v>
      </c>
      <c r="D29" s="13">
        <f>0</f>
        <v>0</v>
      </c>
      <c r="E29" s="13">
        <f>0</f>
        <v>0</v>
      </c>
      <c r="F29" s="13">
        <f>0</f>
        <v>0</v>
      </c>
      <c r="G29" s="13">
        <f>0</f>
        <v>0</v>
      </c>
      <c r="H29" s="13">
        <f>0</f>
        <v>0</v>
      </c>
      <c r="I29" s="13">
        <f>0</f>
        <v>0</v>
      </c>
      <c r="J29" s="13">
        <f>0</f>
        <v>0</v>
      </c>
      <c r="K29" s="13">
        <f>0</f>
        <v>0</v>
      </c>
      <c r="L29" s="13">
        <f>0</f>
        <v>0</v>
      </c>
      <c r="M29" s="13">
        <f>0</f>
        <v>0</v>
      </c>
      <c r="N29" s="14">
        <f t="shared" si="3"/>
        <v>0</v>
      </c>
    </row>
    <row r="30" spans="1:14" x14ac:dyDescent="0.3">
      <c r="A30" s="3" t="s">
        <v>52</v>
      </c>
    </row>
    <row r="31" spans="1:14" x14ac:dyDescent="0.3">
      <c r="A31" s="2" t="s">
        <v>53</v>
      </c>
      <c r="B31" s="13">
        <f>0</f>
        <v>0</v>
      </c>
      <c r="C31" s="13">
        <f>0</f>
        <v>0</v>
      </c>
      <c r="D31" s="13">
        <f>0</f>
        <v>0</v>
      </c>
      <c r="E31" s="13">
        <f>0</f>
        <v>0</v>
      </c>
      <c r="F31" s="13">
        <f>0</f>
        <v>0</v>
      </c>
      <c r="G31" s="13">
        <f>0</f>
        <v>0</v>
      </c>
      <c r="H31" s="13">
        <f>0</f>
        <v>0</v>
      </c>
      <c r="I31" s="13">
        <f>0</f>
        <v>0</v>
      </c>
      <c r="J31" s="13">
        <f>0</f>
        <v>0</v>
      </c>
      <c r="K31" s="13">
        <f>0</f>
        <v>0</v>
      </c>
      <c r="L31" s="13">
        <f>0</f>
        <v>0</v>
      </c>
      <c r="M31" s="13">
        <f>0</f>
        <v>0</v>
      </c>
      <c r="N31" s="14">
        <f>SUM(B31:M31)</f>
        <v>0</v>
      </c>
    </row>
    <row r="32" spans="1:14" x14ac:dyDescent="0.3">
      <c r="A32" s="2" t="s">
        <v>54</v>
      </c>
      <c r="B32" s="13">
        <f>-B50*Supuestos!$B$14/12</f>
        <v>-10340.141565805197</v>
      </c>
      <c r="C32" s="13">
        <f>-C50*Supuestos!$B$14/12</f>
        <v>-9478.4631019880981</v>
      </c>
      <c r="D32" s="13">
        <f>-D50*Supuestos!$B$14/12</f>
        <v>-8616.7846381709969</v>
      </c>
      <c r="E32" s="13">
        <f>-E50*Supuestos!$B$14/12</f>
        <v>-7755.1061743538967</v>
      </c>
      <c r="F32" s="13">
        <f>-F50*Supuestos!$B$14/12</f>
        <v>-6893.4277105367973</v>
      </c>
      <c r="G32" s="13">
        <f>-G50*Supuestos!$B$14/12</f>
        <v>-6031.7492467196971</v>
      </c>
      <c r="H32" s="13">
        <f>-H50*Supuestos!$B$14/12</f>
        <v>-5170.0707829025969</v>
      </c>
      <c r="I32" s="13">
        <f>-I50*Supuestos!$B$14/12</f>
        <v>-4308.3923190854975</v>
      </c>
      <c r="J32" s="13">
        <f>-J50*Supuestos!$B$14/12</f>
        <v>-3446.7138552683978</v>
      </c>
      <c r="K32" s="13">
        <f>-K50*Supuestos!$B$14/12</f>
        <v>-2585.0353914512984</v>
      </c>
      <c r="L32" s="13">
        <f>-L50*Supuestos!$B$14/12</f>
        <v>-1723.3569276341987</v>
      </c>
      <c r="M32" s="13">
        <f>-M50*Supuestos!$B$14/12</f>
        <v>-861.67846381709887</v>
      </c>
      <c r="N32" s="14">
        <f>SUM(B32:M32)</f>
        <v>-67210.920177733773</v>
      </c>
    </row>
    <row r="33" spans="1:14" x14ac:dyDescent="0.3">
      <c r="A33" s="3" t="s">
        <v>55</v>
      </c>
      <c r="B33" s="13">
        <f>-MAX(0,B15+SUM(B18:B32))*Supuestos!$B$16</f>
        <v>0</v>
      </c>
      <c r="C33" s="13">
        <f>-MAX(0,C15+SUM(C18:C32))*Supuestos!$B$16</f>
        <v>0</v>
      </c>
      <c r="D33" s="13">
        <f>-MAX(0,D15+SUM(D18:D32))*Supuestos!$B$16</f>
        <v>0</v>
      </c>
      <c r="E33" s="13">
        <f>-MAX(0,E15+SUM(E18:E32))*Supuestos!$B$16</f>
        <v>0</v>
      </c>
      <c r="F33" s="13">
        <f>-MAX(0,F15+SUM(F18:F32))*Supuestos!$B$16</f>
        <v>0</v>
      </c>
      <c r="G33" s="13">
        <f>-MAX(0,G15+SUM(G18:G32))*Supuestos!$B$16</f>
        <v>0</v>
      </c>
      <c r="H33" s="13">
        <f>-MAX(0,H15+SUM(H18:H32))*Supuestos!$B$16</f>
        <v>0</v>
      </c>
      <c r="I33" s="13">
        <f>-MAX(0,I15+SUM(I18:I32))*Supuestos!$B$16</f>
        <v>0</v>
      </c>
      <c r="J33" s="13">
        <f>-MAX(0,J15+SUM(J18:J32))*Supuestos!$B$16</f>
        <v>0</v>
      </c>
      <c r="K33" s="13">
        <f>-MAX(0,K15+SUM(K18:K32))*Supuestos!$B$16</f>
        <v>-28.106759195448831</v>
      </c>
      <c r="L33" s="13">
        <f>-MAX(0,L15+SUM(L18:L32))*Supuestos!$B$16</f>
        <v>-655.49247802048922</v>
      </c>
      <c r="M33" s="13">
        <f>-MAX(0,M15+SUM(M18:M32))*Supuestos!$B$16</f>
        <v>-1298.2857290926622</v>
      </c>
      <c r="N33" s="14">
        <f>SUM(B33:M33)</f>
        <v>-1981.8849663086003</v>
      </c>
    </row>
    <row r="34" spans="1:14" x14ac:dyDescent="0.3">
      <c r="A34" s="3" t="s">
        <v>56</v>
      </c>
      <c r="B34" s="15">
        <f t="shared" ref="B34:M34" si="4">B15+SUM(B18:B33)</f>
        <v>-20041.565010189079</v>
      </c>
      <c r="C34" s="15">
        <f t="shared" si="4"/>
        <v>-17995.740466524847</v>
      </c>
      <c r="D34" s="15">
        <f t="shared" si="4"/>
        <v>-15905.628859474789</v>
      </c>
      <c r="E34" s="15">
        <f t="shared" si="4"/>
        <v>-13769.573852868285</v>
      </c>
      <c r="F34" s="15">
        <f t="shared" si="4"/>
        <v>-11585.857163560577</v>
      </c>
      <c r="G34" s="15">
        <f t="shared" si="4"/>
        <v>-9352.6962446197867</v>
      </c>
      <c r="H34" s="15">
        <f t="shared" si="4"/>
        <v>-7068.2418818576261</v>
      </c>
      <c r="I34" s="15">
        <f t="shared" si="4"/>
        <v>-4730.575700474903</v>
      </c>
      <c r="J34" s="15">
        <f t="shared" si="4"/>
        <v>-2337.7075784546323</v>
      </c>
      <c r="K34" s="15">
        <f t="shared" si="4"/>
        <v>84.320277586579323</v>
      </c>
      <c r="L34" s="15">
        <f t="shared" si="4"/>
        <v>1966.4774340614676</v>
      </c>
      <c r="M34" s="15">
        <f t="shared" si="4"/>
        <v>3894.8571872781031</v>
      </c>
      <c r="N34" s="14">
        <f>SUM(B34:M34)</f>
        <v>-96841.931859098375</v>
      </c>
    </row>
    <row r="35" spans="1:14" x14ac:dyDescent="0.3">
      <c r="A35" s="2" t="s">
        <v>57</v>
      </c>
      <c r="B35" s="13">
        <f>Supuestos!$B$17</f>
        <v>18172128</v>
      </c>
      <c r="C35" s="13">
        <f t="shared" ref="C35:M35" si="5">B48</f>
        <v>18243112.180289812</v>
      </c>
      <c r="D35" s="13">
        <f t="shared" si="5"/>
        <v>18322156.361511506</v>
      </c>
      <c r="E35" s="13">
        <f t="shared" si="5"/>
        <v>18409529.76092539</v>
      </c>
      <c r="F35" s="13">
        <f t="shared" si="5"/>
        <v>18505511.664517306</v>
      </c>
      <c r="G35" s="13">
        <f t="shared" si="5"/>
        <v>18610391.803568963</v>
      </c>
      <c r="H35" s="13">
        <f t="shared" si="5"/>
        <v>18724470.745312009</v>
      </c>
      <c r="I35" s="13">
        <f t="shared" si="5"/>
        <v>18848060.298192557</v>
      </c>
      <c r="J35" s="13">
        <f t="shared" si="5"/>
        <v>18981483.932292603</v>
      </c>
      <c r="K35" s="13">
        <f t="shared" si="5"/>
        <v>19125077.215475209</v>
      </c>
      <c r="L35" s="13">
        <f t="shared" si="5"/>
        <v>19279160.15908232</v>
      </c>
      <c r="M35" s="13">
        <f t="shared" si="5"/>
        <v>19443494.621872429</v>
      </c>
      <c r="N35" s="14">
        <f>B35</f>
        <v>18172128</v>
      </c>
    </row>
    <row r="36" spans="1:14" x14ac:dyDescent="0.3">
      <c r="A36" s="11" t="s">
        <v>58</v>
      </c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</row>
    <row r="37" spans="1:14" x14ac:dyDescent="0.3">
      <c r="A37" s="2" t="s">
        <v>59</v>
      </c>
      <c r="B37" s="13">
        <f t="shared" ref="B37:M37" si="6">-B25</f>
        <v>41363.083333333336</v>
      </c>
      <c r="C37" s="13">
        <f t="shared" si="6"/>
        <v>41363.083333333336</v>
      </c>
      <c r="D37" s="13">
        <f t="shared" si="6"/>
        <v>41363.083333333336</v>
      </c>
      <c r="E37" s="13">
        <f t="shared" si="6"/>
        <v>41363.083333333336</v>
      </c>
      <c r="F37" s="13">
        <f t="shared" si="6"/>
        <v>41363.083333333336</v>
      </c>
      <c r="G37" s="13">
        <f t="shared" si="6"/>
        <v>41363.083333333336</v>
      </c>
      <c r="H37" s="13">
        <f t="shared" si="6"/>
        <v>41363.083333333336</v>
      </c>
      <c r="I37" s="13">
        <f t="shared" si="6"/>
        <v>41363.083333333336</v>
      </c>
      <c r="J37" s="13">
        <f t="shared" si="6"/>
        <v>41363.083333333336</v>
      </c>
      <c r="K37" s="13">
        <f t="shared" si="6"/>
        <v>41363.083333333336</v>
      </c>
      <c r="L37" s="13">
        <f t="shared" si="6"/>
        <v>41363.083333333336</v>
      </c>
      <c r="M37" s="13">
        <f t="shared" si="6"/>
        <v>41363.083333333336</v>
      </c>
      <c r="N37" s="14">
        <f t="shared" ref="N37:N42" si="7">SUM(B37:M37)</f>
        <v>496356.99999999994</v>
      </c>
    </row>
    <row r="38" spans="1:14" x14ac:dyDescent="0.3">
      <c r="A38" s="2" t="s">
        <v>48</v>
      </c>
      <c r="B38" s="13">
        <f t="shared" ref="B38:M38" si="8">-B26</f>
        <v>0</v>
      </c>
      <c r="C38" s="13">
        <f t="shared" si="8"/>
        <v>0</v>
      </c>
      <c r="D38" s="13">
        <f t="shared" si="8"/>
        <v>0</v>
      </c>
      <c r="E38" s="13">
        <f t="shared" si="8"/>
        <v>0</v>
      </c>
      <c r="F38" s="13">
        <f t="shared" si="8"/>
        <v>0</v>
      </c>
      <c r="G38" s="13">
        <f t="shared" si="8"/>
        <v>0</v>
      </c>
      <c r="H38" s="13">
        <f t="shared" si="8"/>
        <v>0</v>
      </c>
      <c r="I38" s="13">
        <f t="shared" si="8"/>
        <v>0</v>
      </c>
      <c r="J38" s="13">
        <f t="shared" si="8"/>
        <v>0</v>
      </c>
      <c r="K38" s="13">
        <f t="shared" si="8"/>
        <v>0</v>
      </c>
      <c r="L38" s="13">
        <f t="shared" si="8"/>
        <v>0</v>
      </c>
      <c r="M38" s="13">
        <f t="shared" si="8"/>
        <v>0</v>
      </c>
      <c r="N38" s="14">
        <f t="shared" si="7"/>
        <v>0</v>
      </c>
    </row>
    <row r="39" spans="1:14" x14ac:dyDescent="0.3">
      <c r="A39" s="2" t="s">
        <v>60</v>
      </c>
      <c r="B39" s="13">
        <f t="shared" ref="B39:M39" si="9">-B27</f>
        <v>160806.85530000002</v>
      </c>
      <c r="C39" s="13">
        <f t="shared" si="9"/>
        <v>166821.03168822004</v>
      </c>
      <c r="D39" s="13">
        <f t="shared" si="9"/>
        <v>173060.13827335948</v>
      </c>
      <c r="E39" s="13">
        <f t="shared" si="9"/>
        <v>179532.58744478313</v>
      </c>
      <c r="F39" s="13">
        <f t="shared" si="9"/>
        <v>186247.10621521805</v>
      </c>
      <c r="G39" s="13">
        <f t="shared" si="9"/>
        <v>193212.74798766722</v>
      </c>
      <c r="H39" s="13">
        <f t="shared" si="9"/>
        <v>200438.90476240599</v>
      </c>
      <c r="I39" s="13">
        <f t="shared" si="9"/>
        <v>207935.31980052</v>
      </c>
      <c r="J39" s="13">
        <f t="shared" si="9"/>
        <v>215712.10076105944</v>
      </c>
      <c r="K39" s="13">
        <f t="shared" si="9"/>
        <v>223779.73332952309</v>
      </c>
      <c r="L39" s="13">
        <f t="shared" si="9"/>
        <v>232149.09535604727</v>
      </c>
      <c r="M39" s="13">
        <f t="shared" si="9"/>
        <v>240831.47152236346</v>
      </c>
      <c r="N39" s="14">
        <f t="shared" si="7"/>
        <v>2380527.0924411672</v>
      </c>
    </row>
    <row r="40" spans="1:14" x14ac:dyDescent="0.3">
      <c r="A40" s="2" t="s">
        <v>61</v>
      </c>
      <c r="B40" s="13">
        <f>0</f>
        <v>0</v>
      </c>
      <c r="C40" s="13">
        <f>0</f>
        <v>0</v>
      </c>
      <c r="D40" s="13">
        <f>0</f>
        <v>0</v>
      </c>
      <c r="E40" s="13">
        <f>0</f>
        <v>0</v>
      </c>
      <c r="F40" s="13">
        <f>0</f>
        <v>0</v>
      </c>
      <c r="G40" s="13">
        <f>0</f>
        <v>0</v>
      </c>
      <c r="H40" s="13">
        <f>0</f>
        <v>0</v>
      </c>
      <c r="I40" s="13">
        <f>0</f>
        <v>0</v>
      </c>
      <c r="J40" s="13">
        <f>0</f>
        <v>0</v>
      </c>
      <c r="K40" s="13">
        <f>0</f>
        <v>0</v>
      </c>
      <c r="L40" s="13">
        <f>0</f>
        <v>0</v>
      </c>
      <c r="M40" s="13">
        <f>0</f>
        <v>0</v>
      </c>
      <c r="N40" s="14">
        <f t="shared" si="7"/>
        <v>0</v>
      </c>
    </row>
    <row r="41" spans="1:14" x14ac:dyDescent="0.3">
      <c r="A41" s="2" t="s">
        <v>62</v>
      </c>
      <c r="B41" s="13">
        <f>0</f>
        <v>0</v>
      </c>
      <c r="C41" s="13">
        <f>0</f>
        <v>0</v>
      </c>
      <c r="D41" s="13">
        <f>0</f>
        <v>0</v>
      </c>
      <c r="E41" s="13">
        <f>0</f>
        <v>0</v>
      </c>
      <c r="F41" s="13">
        <f>0</f>
        <v>0</v>
      </c>
      <c r="G41" s="13">
        <f>0</f>
        <v>0</v>
      </c>
      <c r="H41" s="13">
        <f>0</f>
        <v>0</v>
      </c>
      <c r="I41" s="13">
        <f>0</f>
        <v>0</v>
      </c>
      <c r="J41" s="13">
        <f>0</f>
        <v>0</v>
      </c>
      <c r="K41" s="13">
        <f>0</f>
        <v>0</v>
      </c>
      <c r="L41" s="13">
        <f>0</f>
        <v>0</v>
      </c>
      <c r="M41" s="13">
        <f>0</f>
        <v>0</v>
      </c>
      <c r="N41" s="14">
        <f t="shared" si="7"/>
        <v>0</v>
      </c>
    </row>
    <row r="42" spans="1:14" x14ac:dyDescent="0.3">
      <c r="A42" s="2" t="s">
        <v>63</v>
      </c>
      <c r="B42" s="13">
        <f>0</f>
        <v>0</v>
      </c>
      <c r="C42" s="13">
        <f>0</f>
        <v>0</v>
      </c>
      <c r="D42" s="13">
        <f>0</f>
        <v>0</v>
      </c>
      <c r="E42" s="13">
        <f>0</f>
        <v>0</v>
      </c>
      <c r="F42" s="13">
        <f>0</f>
        <v>0</v>
      </c>
      <c r="G42" s="13">
        <f>0</f>
        <v>0</v>
      </c>
      <c r="H42" s="13">
        <f>0</f>
        <v>0</v>
      </c>
      <c r="I42" s="13">
        <f>0</f>
        <v>0</v>
      </c>
      <c r="J42" s="13">
        <f>0</f>
        <v>0</v>
      </c>
      <c r="K42" s="13">
        <f>0</f>
        <v>0</v>
      </c>
      <c r="L42" s="13">
        <f>0</f>
        <v>0</v>
      </c>
      <c r="M42" s="13">
        <f>0</f>
        <v>0</v>
      </c>
      <c r="N42" s="14">
        <f t="shared" si="7"/>
        <v>0</v>
      </c>
    </row>
    <row r="43" spans="1:14" x14ac:dyDescent="0.3">
      <c r="A43" s="11" t="s">
        <v>64</v>
      </c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</row>
    <row r="44" spans="1:14" x14ac:dyDescent="0.3">
      <c r="A44" s="2" t="s">
        <v>65</v>
      </c>
      <c r="B44" s="13">
        <f>0</f>
        <v>0</v>
      </c>
      <c r="C44" s="13">
        <f>0</f>
        <v>0</v>
      </c>
      <c r="D44" s="13">
        <f>0</f>
        <v>0</v>
      </c>
      <c r="E44" s="13">
        <f>0</f>
        <v>0</v>
      </c>
      <c r="F44" s="13">
        <f>0</f>
        <v>0</v>
      </c>
      <c r="G44" s="13">
        <f>0</f>
        <v>0</v>
      </c>
      <c r="H44" s="13">
        <f>0</f>
        <v>0</v>
      </c>
      <c r="I44" s="13">
        <f>0</f>
        <v>0</v>
      </c>
      <c r="J44" s="13">
        <f>0</f>
        <v>0</v>
      </c>
      <c r="K44" s="13">
        <f>0</f>
        <v>0</v>
      </c>
      <c r="L44" s="13">
        <f>0</f>
        <v>0</v>
      </c>
      <c r="M44" s="13">
        <f>0</f>
        <v>0</v>
      </c>
      <c r="N44" s="14">
        <f>SUM(B44:M44)</f>
        <v>0</v>
      </c>
    </row>
    <row r="45" spans="1:14" x14ac:dyDescent="0.3">
      <c r="A45" s="2" t="s">
        <v>66</v>
      </c>
      <c r="B45" s="13">
        <f t="shared" ref="B45:M45" si="10">-$B$50/12</f>
        <v>-86212.583333333328</v>
      </c>
      <c r="C45" s="13">
        <f t="shared" si="10"/>
        <v>-86212.583333333328</v>
      </c>
      <c r="D45" s="13">
        <f t="shared" si="10"/>
        <v>-86212.583333333328</v>
      </c>
      <c r="E45" s="13">
        <f t="shared" si="10"/>
        <v>-86212.583333333328</v>
      </c>
      <c r="F45" s="13">
        <f t="shared" si="10"/>
        <v>-86212.583333333328</v>
      </c>
      <c r="G45" s="13">
        <f t="shared" si="10"/>
        <v>-86212.583333333328</v>
      </c>
      <c r="H45" s="13">
        <f t="shared" si="10"/>
        <v>-86212.583333333328</v>
      </c>
      <c r="I45" s="13">
        <f t="shared" si="10"/>
        <v>-86212.583333333328</v>
      </c>
      <c r="J45" s="13">
        <f t="shared" si="10"/>
        <v>-86212.583333333328</v>
      </c>
      <c r="K45" s="13">
        <f t="shared" si="10"/>
        <v>-86212.583333333328</v>
      </c>
      <c r="L45" s="13">
        <f t="shared" si="10"/>
        <v>-86212.583333333328</v>
      </c>
      <c r="M45" s="13">
        <f t="shared" si="10"/>
        <v>-86212.583333333328</v>
      </c>
      <c r="N45" s="14">
        <f>SUM(B45:M45)</f>
        <v>-1034551.0000000001</v>
      </c>
    </row>
    <row r="46" spans="1:14" x14ac:dyDescent="0.3">
      <c r="A46" s="2" t="s">
        <v>67</v>
      </c>
      <c r="B46" s="13">
        <f>-Supuestos!$B$13</f>
        <v>-24931.610000000004</v>
      </c>
      <c r="C46" s="13">
        <f>-Supuestos!$B$13</f>
        <v>-24931.610000000004</v>
      </c>
      <c r="D46" s="13">
        <f>-Supuestos!$B$13</f>
        <v>-24931.610000000004</v>
      </c>
      <c r="E46" s="13">
        <f>-Supuestos!$B$13</f>
        <v>-24931.610000000004</v>
      </c>
      <c r="F46" s="13">
        <f>-Supuestos!$B$13</f>
        <v>-24931.610000000004</v>
      </c>
      <c r="G46" s="13">
        <f>-Supuestos!$B$13</f>
        <v>-24931.610000000004</v>
      </c>
      <c r="H46" s="13">
        <f>-Supuestos!$B$13</f>
        <v>-24931.610000000004</v>
      </c>
      <c r="I46" s="13">
        <f>-Supuestos!$B$13</f>
        <v>-24931.610000000004</v>
      </c>
      <c r="J46" s="13">
        <f>-Supuestos!$B$13</f>
        <v>-24931.610000000004</v>
      </c>
      <c r="K46" s="13">
        <f>-Supuestos!$B$13</f>
        <v>-24931.610000000004</v>
      </c>
      <c r="L46" s="13">
        <f>-Supuestos!$B$13</f>
        <v>-24931.610000000004</v>
      </c>
      <c r="M46" s="13">
        <f>-Supuestos!$B$13</f>
        <v>-24931.610000000004</v>
      </c>
      <c r="N46" s="14">
        <f>SUM(B46:M46)</f>
        <v>-299179.32000000007</v>
      </c>
    </row>
    <row r="47" spans="1:14" x14ac:dyDescent="0.3">
      <c r="A47" s="3" t="s">
        <v>100</v>
      </c>
      <c r="B47" s="15">
        <f t="shared" ref="B47:M47" si="11">B34+SUM(B37:B46)</f>
        <v>70984.18028981096</v>
      </c>
      <c r="C47" s="15">
        <f t="shared" si="11"/>
        <v>79044.181221695209</v>
      </c>
      <c r="D47" s="15">
        <f t="shared" si="11"/>
        <v>87373.399413884705</v>
      </c>
      <c r="E47" s="15">
        <f t="shared" si="11"/>
        <v>95981.903591914845</v>
      </c>
      <c r="F47" s="15">
        <f t="shared" si="11"/>
        <v>104880.1390516575</v>
      </c>
      <c r="G47" s="15">
        <f t="shared" si="11"/>
        <v>114078.94174304743</v>
      </c>
      <c r="H47" s="15">
        <f t="shared" si="11"/>
        <v>123589.55288054839</v>
      </c>
      <c r="I47" s="15">
        <f t="shared" si="11"/>
        <v>133423.63410004511</v>
      </c>
      <c r="J47" s="15">
        <f t="shared" si="11"/>
        <v>143593.28318260479</v>
      </c>
      <c r="K47" s="15">
        <f t="shared" si="11"/>
        <v>154082.94360710969</v>
      </c>
      <c r="L47" s="15">
        <f t="shared" si="11"/>
        <v>164334.46279010872</v>
      </c>
      <c r="M47" s="15">
        <f t="shared" si="11"/>
        <v>174945.21870964157</v>
      </c>
      <c r="N47" s="14">
        <f>SUM(B47:M47)</f>
        <v>1446311.840582069</v>
      </c>
    </row>
    <row r="48" spans="1:14" x14ac:dyDescent="0.3">
      <c r="A48" s="3" t="s">
        <v>69</v>
      </c>
      <c r="B48" s="15">
        <f t="shared" ref="B48:M48" si="12">B35+B47</f>
        <v>18243112.180289812</v>
      </c>
      <c r="C48" s="15">
        <f t="shared" si="12"/>
        <v>18322156.361511506</v>
      </c>
      <c r="D48" s="15">
        <f t="shared" si="12"/>
        <v>18409529.76092539</v>
      </c>
      <c r="E48" s="15">
        <f t="shared" si="12"/>
        <v>18505511.664517306</v>
      </c>
      <c r="F48" s="15">
        <f t="shared" si="12"/>
        <v>18610391.803568963</v>
      </c>
      <c r="G48" s="15">
        <f t="shared" si="12"/>
        <v>18724470.745312009</v>
      </c>
      <c r="H48" s="15">
        <f t="shared" si="12"/>
        <v>18848060.298192557</v>
      </c>
      <c r="I48" s="15">
        <f t="shared" si="12"/>
        <v>18981483.932292603</v>
      </c>
      <c r="J48" s="15">
        <f t="shared" si="12"/>
        <v>19125077.215475209</v>
      </c>
      <c r="K48" s="15">
        <f t="shared" si="12"/>
        <v>19279160.15908232</v>
      </c>
      <c r="L48" s="15">
        <f t="shared" si="12"/>
        <v>19443494.621872429</v>
      </c>
      <c r="M48" s="15">
        <f t="shared" si="12"/>
        <v>19618439.840582069</v>
      </c>
      <c r="N48" s="14">
        <f>M48</f>
        <v>19618439.840582069</v>
      </c>
    </row>
    <row r="50" spans="1:14" x14ac:dyDescent="0.3">
      <c r="A50" s="2" t="s">
        <v>70</v>
      </c>
      <c r="B50" s="13">
        <f>Supuestos!$B$15</f>
        <v>1034551</v>
      </c>
      <c r="C50" s="13">
        <f t="shared" ref="C50:M50" si="13">B51</f>
        <v>948338.41666666663</v>
      </c>
      <c r="D50" s="13">
        <f t="shared" si="13"/>
        <v>862125.83333333326</v>
      </c>
      <c r="E50" s="13">
        <f t="shared" si="13"/>
        <v>775913.24999999988</v>
      </c>
      <c r="F50" s="13">
        <f t="shared" si="13"/>
        <v>689700.66666666651</v>
      </c>
      <c r="G50" s="13">
        <f t="shared" si="13"/>
        <v>603488.08333333314</v>
      </c>
      <c r="H50" s="13">
        <f t="shared" si="13"/>
        <v>517275.49999999983</v>
      </c>
      <c r="I50" s="13">
        <f t="shared" si="13"/>
        <v>431062.91666666651</v>
      </c>
      <c r="J50" s="13">
        <f t="shared" si="13"/>
        <v>344850.3333333332</v>
      </c>
      <c r="K50" s="13">
        <f t="shared" si="13"/>
        <v>258637.74999999988</v>
      </c>
      <c r="L50" s="13">
        <f t="shared" si="13"/>
        <v>172425.16666666657</v>
      </c>
      <c r="M50" s="13">
        <f t="shared" si="13"/>
        <v>86212.583333333241</v>
      </c>
      <c r="N50" s="14">
        <f>B50</f>
        <v>1034551</v>
      </c>
    </row>
    <row r="51" spans="1:14" x14ac:dyDescent="0.3">
      <c r="A51" s="2" t="s">
        <v>71</v>
      </c>
      <c r="B51" s="13">
        <f t="shared" ref="B51:M51" si="14">B50+B45</f>
        <v>948338.41666666663</v>
      </c>
      <c r="C51" s="13">
        <f t="shared" si="14"/>
        <v>862125.83333333326</v>
      </c>
      <c r="D51" s="13">
        <f t="shared" si="14"/>
        <v>775913.24999999988</v>
      </c>
      <c r="E51" s="13">
        <f t="shared" si="14"/>
        <v>689700.66666666651</v>
      </c>
      <c r="F51" s="13">
        <f t="shared" si="14"/>
        <v>603488.08333333314</v>
      </c>
      <c r="G51" s="13">
        <f t="shared" si="14"/>
        <v>517275.49999999983</v>
      </c>
      <c r="H51" s="13">
        <f t="shared" si="14"/>
        <v>431062.91666666651</v>
      </c>
      <c r="I51" s="13">
        <f t="shared" si="14"/>
        <v>344850.3333333332</v>
      </c>
      <c r="J51" s="13">
        <f t="shared" si="14"/>
        <v>258637.74999999988</v>
      </c>
      <c r="K51" s="13">
        <f t="shared" si="14"/>
        <v>172425.16666666657</v>
      </c>
      <c r="L51" s="13">
        <f t="shared" si="14"/>
        <v>86212.583333333241</v>
      </c>
      <c r="M51" s="13">
        <f t="shared" si="14"/>
        <v>0</v>
      </c>
      <c r="N51" s="14">
        <f>M51</f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1"/>
  <sheetViews>
    <sheetView showGridLines="0" topLeftCell="A51" zoomScaleNormal="100" workbookViewId="0">
      <selection activeCell="B4" sqref="B4"/>
    </sheetView>
  </sheetViews>
  <sheetFormatPr baseColWidth="10" defaultColWidth="8.6640625" defaultRowHeight="14.4" x14ac:dyDescent="0.3"/>
  <cols>
    <col min="1" max="1" width="88" customWidth="1"/>
    <col min="2" max="3" width="18" customWidth="1"/>
  </cols>
  <sheetData>
    <row r="1" spans="1:3" ht="15" customHeight="1" x14ac:dyDescent="0.3">
      <c r="A1" s="1"/>
      <c r="C1" s="1" t="s">
        <v>101</v>
      </c>
    </row>
    <row r="2" spans="1:3" ht="15" customHeight="1" x14ac:dyDescent="0.3">
      <c r="A2" s="2"/>
    </row>
    <row r="3" spans="1:3" ht="15" customHeight="1" x14ac:dyDescent="0.3">
      <c r="A3" s="3" t="s">
        <v>2</v>
      </c>
      <c r="B3" s="3" t="s">
        <v>72</v>
      </c>
    </row>
    <row r="4" spans="1:3" ht="15" customHeight="1" x14ac:dyDescent="0.3">
      <c r="A4" s="3" t="s">
        <v>3</v>
      </c>
      <c r="B4" s="2" t="s">
        <v>4</v>
      </c>
      <c r="C4" s="4" t="s">
        <v>5</v>
      </c>
    </row>
    <row r="6" spans="1:3" ht="15" customHeight="1" x14ac:dyDescent="0.3">
      <c r="A6" s="5" t="s">
        <v>102</v>
      </c>
      <c r="B6" s="6" t="s">
        <v>103</v>
      </c>
      <c r="C6" s="6" t="s">
        <v>104</v>
      </c>
    </row>
    <row r="7" spans="1:3" ht="15" customHeight="1" x14ac:dyDescent="0.3">
      <c r="A7" s="11" t="s">
        <v>31</v>
      </c>
      <c r="B7" s="12"/>
      <c r="C7" s="12"/>
    </row>
    <row r="8" spans="1:3" ht="15" customHeight="1" x14ac:dyDescent="0.3">
      <c r="A8" s="3" t="s">
        <v>32</v>
      </c>
    </row>
    <row r="9" spans="1:3" ht="15" customHeight="1" x14ac:dyDescent="0.3">
      <c r="A9" s="2" t="s">
        <v>105</v>
      </c>
      <c r="B9" s="13">
        <f>Datos!C20-((Datos!C7+Datos!C8)-(Datos!B7+Datos!B8))</f>
        <v>23810536</v>
      </c>
      <c r="C9" s="13">
        <f>Datos!D20-((Datos!D7+Datos!D8)-(Datos!C7+Datos!C8))</f>
        <v>31707842</v>
      </c>
    </row>
    <row r="10" spans="1:3" ht="15" customHeight="1" x14ac:dyDescent="0.3">
      <c r="A10" s="2" t="s">
        <v>34</v>
      </c>
      <c r="B10" s="13">
        <f>0</f>
        <v>0</v>
      </c>
      <c r="C10" s="13">
        <f>0</f>
        <v>0</v>
      </c>
    </row>
    <row r="11" spans="1:3" ht="15" customHeight="1" x14ac:dyDescent="0.3">
      <c r="A11" s="3" t="s">
        <v>35</v>
      </c>
    </row>
    <row r="12" spans="1:3" ht="15" customHeight="1" x14ac:dyDescent="0.3">
      <c r="A12" s="2" t="s">
        <v>36</v>
      </c>
      <c r="B12" s="13">
        <f>Datos!C21</f>
        <v>0</v>
      </c>
      <c r="C12" s="13">
        <f>Datos!D21</f>
        <v>0</v>
      </c>
    </row>
    <row r="13" spans="1:3" ht="15" customHeight="1" x14ac:dyDescent="0.3">
      <c r="A13" s="3" t="s">
        <v>37</v>
      </c>
      <c r="B13" s="15">
        <f>B9+B10+B12</f>
        <v>23810536</v>
      </c>
      <c r="C13" s="15">
        <f>C9+C10+C12</f>
        <v>31707842</v>
      </c>
    </row>
    <row r="14" spans="1:3" ht="15" customHeight="1" x14ac:dyDescent="0.3">
      <c r="A14" s="11" t="s">
        <v>38</v>
      </c>
      <c r="B14" s="12"/>
      <c r="C14" s="12"/>
    </row>
    <row r="15" spans="1:3" ht="15" customHeight="1" x14ac:dyDescent="0.3">
      <c r="A15" s="3" t="s">
        <v>39</v>
      </c>
    </row>
    <row r="16" spans="1:3" ht="15" customHeight="1" x14ac:dyDescent="0.3">
      <c r="A16" s="2" t="s">
        <v>106</v>
      </c>
      <c r="B16" s="13">
        <f>-(Datos!C22+(Datos!C9-Datos!B9))</f>
        <v>-19591925</v>
      </c>
      <c r="C16" s="13">
        <f>-(Datos!D22+(Datos!D9-Datos!C9))</f>
        <v>-10821206</v>
      </c>
    </row>
    <row r="17" spans="1:3" ht="15" customHeight="1" x14ac:dyDescent="0.3">
      <c r="A17" s="2" t="s">
        <v>41</v>
      </c>
      <c r="B17" s="13">
        <f>0</f>
        <v>0</v>
      </c>
      <c r="C17" s="13">
        <f>0</f>
        <v>0</v>
      </c>
    </row>
    <row r="18" spans="1:3" ht="15" customHeight="1" x14ac:dyDescent="0.3">
      <c r="A18" s="3" t="s">
        <v>42</v>
      </c>
    </row>
    <row r="19" spans="1:3" ht="15" customHeight="1" x14ac:dyDescent="0.3">
      <c r="A19" s="2" t="s">
        <v>107</v>
      </c>
      <c r="B19" s="13">
        <f>-(Datos!C23-(Datos!C11-Datos!B11)-((Datos!C12+Datos!C13+Datos!C14)-(Datos!B12+Datos!B13+Datos!B14)))</f>
        <v>-723264.31799999997</v>
      </c>
      <c r="C19" s="13">
        <f>-(Datos!D23-(Datos!D11-Datos!C11)-((Datos!D12+Datos!D13+Datos!D14)-(Datos!C12+Datos!C13+Datos!C14)))</f>
        <v>-14251229.390000001</v>
      </c>
    </row>
    <row r="20" spans="1:3" ht="15" customHeight="1" x14ac:dyDescent="0.3">
      <c r="A20" s="2" t="s">
        <v>108</v>
      </c>
      <c r="B20" s="13">
        <f>-Datos!C24</f>
        <v>-821463.49199999997</v>
      </c>
      <c r="C20" s="13">
        <f>-Datos!D24</f>
        <v>-1093920.5490000001</v>
      </c>
    </row>
    <row r="21" spans="1:3" ht="15" customHeight="1" x14ac:dyDescent="0.3">
      <c r="A21" s="2" t="s">
        <v>45</v>
      </c>
      <c r="B21" s="13">
        <f>0</f>
        <v>0</v>
      </c>
      <c r="C21" s="13">
        <f>0</f>
        <v>0</v>
      </c>
    </row>
    <row r="22" spans="1:3" ht="15" customHeight="1" x14ac:dyDescent="0.3">
      <c r="A22" s="2" t="s">
        <v>46</v>
      </c>
      <c r="B22" s="13">
        <f>0</f>
        <v>0</v>
      </c>
      <c r="C22" s="13">
        <f>0</f>
        <v>0</v>
      </c>
    </row>
    <row r="23" spans="1:3" ht="15" customHeight="1" x14ac:dyDescent="0.3">
      <c r="A23" s="2" t="s">
        <v>47</v>
      </c>
      <c r="B23" s="13">
        <f>-Datos!C25</f>
        <v>-496357</v>
      </c>
      <c r="C23" s="13">
        <f>-Datos!D25</f>
        <v>-496357</v>
      </c>
    </row>
    <row r="24" spans="1:3" ht="15" customHeight="1" x14ac:dyDescent="0.3">
      <c r="A24" s="2" t="s">
        <v>48</v>
      </c>
      <c r="B24" s="13">
        <f>0</f>
        <v>0</v>
      </c>
      <c r="C24" s="13">
        <f>0</f>
        <v>0</v>
      </c>
    </row>
    <row r="25" spans="1:3" ht="15" customHeight="1" x14ac:dyDescent="0.3">
      <c r="A25" s="2" t="s">
        <v>49</v>
      </c>
      <c r="B25" s="13">
        <f>-(Datos!C27+Datos!C29)</f>
        <v>-221317</v>
      </c>
      <c r="C25" s="13">
        <f>-(Datos!D27+Datos!D29)</f>
        <v>-1860114</v>
      </c>
    </row>
    <row r="26" spans="1:3" ht="15" customHeight="1" x14ac:dyDescent="0.3">
      <c r="A26" s="2" t="s">
        <v>50</v>
      </c>
      <c r="B26" s="13">
        <f>0</f>
        <v>0</v>
      </c>
      <c r="C26" s="13">
        <f>0</f>
        <v>0</v>
      </c>
    </row>
    <row r="27" spans="1:3" ht="15" customHeight="1" x14ac:dyDescent="0.3">
      <c r="A27" s="2" t="s">
        <v>51</v>
      </c>
      <c r="B27" s="13">
        <f>0</f>
        <v>0</v>
      </c>
      <c r="C27" s="13">
        <f>0</f>
        <v>0</v>
      </c>
    </row>
    <row r="28" spans="1:3" ht="15" customHeight="1" x14ac:dyDescent="0.3">
      <c r="A28" s="3" t="s">
        <v>52</v>
      </c>
    </row>
    <row r="29" spans="1:3" ht="15" customHeight="1" x14ac:dyDescent="0.3">
      <c r="A29" s="2" t="s">
        <v>53</v>
      </c>
      <c r="B29" s="13">
        <f>0</f>
        <v>0</v>
      </c>
      <c r="C29" s="13">
        <f>0</f>
        <v>0</v>
      </c>
    </row>
    <row r="30" spans="1:3" ht="15" customHeight="1" x14ac:dyDescent="0.3">
      <c r="A30" s="2" t="s">
        <v>54</v>
      </c>
      <c r="B30" s="13">
        <f>-Datos!C26</f>
        <v>-195138</v>
      </c>
      <c r="C30" s="13">
        <f>-Datos!D26</f>
        <v>-178588</v>
      </c>
    </row>
    <row r="31" spans="1:3" ht="15" customHeight="1" x14ac:dyDescent="0.3">
      <c r="A31" s="3" t="s">
        <v>55</v>
      </c>
      <c r="B31" s="13">
        <f>-Datos!C28</f>
        <v>0</v>
      </c>
      <c r="C31" s="13">
        <f>-Datos!D28</f>
        <v>0</v>
      </c>
    </row>
    <row r="32" spans="1:3" ht="15" customHeight="1" x14ac:dyDescent="0.3">
      <c r="A32" s="3" t="s">
        <v>109</v>
      </c>
      <c r="B32" s="15">
        <f>B13+B16+B17+SUM(B19:B27)+B29+B30+B31</f>
        <v>1761071.19</v>
      </c>
      <c r="C32" s="15">
        <f>C13+C16+C17+SUM(C19:C27)+C29+C30+C31</f>
        <v>3006427.060999997</v>
      </c>
    </row>
    <row r="33" spans="1:3" ht="15" customHeight="1" x14ac:dyDescent="0.3">
      <c r="A33" s="2" t="s">
        <v>110</v>
      </c>
      <c r="B33" s="13">
        <f>Datos!B5+Datos!B6</f>
        <v>12179656.42</v>
      </c>
      <c r="C33" s="13">
        <f>Datos!C5+Datos!C6</f>
        <v>14241966</v>
      </c>
    </row>
    <row r="34" spans="1:3" ht="15" customHeight="1" x14ac:dyDescent="0.3">
      <c r="A34" s="11" t="s">
        <v>58</v>
      </c>
      <c r="B34" s="12"/>
      <c r="C34" s="12"/>
    </row>
    <row r="35" spans="1:3" ht="15" customHeight="1" x14ac:dyDescent="0.3">
      <c r="A35" s="2" t="s">
        <v>59</v>
      </c>
      <c r="B35" s="13">
        <f t="shared" ref="B35:C37" si="0">-B23</f>
        <v>496357</v>
      </c>
      <c r="C35" s="13">
        <f t="shared" si="0"/>
        <v>496357</v>
      </c>
    </row>
    <row r="36" spans="1:3" ht="15" customHeight="1" x14ac:dyDescent="0.3">
      <c r="A36" s="2" t="s">
        <v>48</v>
      </c>
      <c r="B36" s="13">
        <f t="shared" si="0"/>
        <v>0</v>
      </c>
      <c r="C36" s="13">
        <f t="shared" si="0"/>
        <v>0</v>
      </c>
    </row>
    <row r="37" spans="1:3" ht="15" customHeight="1" x14ac:dyDescent="0.3">
      <c r="A37" s="2" t="s">
        <v>60</v>
      </c>
      <c r="B37" s="13">
        <f t="shared" si="0"/>
        <v>221317</v>
      </c>
      <c r="C37" s="13">
        <f t="shared" si="0"/>
        <v>1860114</v>
      </c>
    </row>
    <row r="38" spans="1:3" ht="15" customHeight="1" x14ac:dyDescent="0.3">
      <c r="A38" s="2" t="s">
        <v>61</v>
      </c>
      <c r="B38" s="13">
        <f>0</f>
        <v>0</v>
      </c>
      <c r="C38" s="13">
        <f>0</f>
        <v>0</v>
      </c>
    </row>
    <row r="39" spans="1:3" ht="15" customHeight="1" x14ac:dyDescent="0.3">
      <c r="A39" s="2" t="s">
        <v>62</v>
      </c>
      <c r="B39" s="13">
        <f>MAX(Datos!C15-Datos!B15,0)</f>
        <v>0</v>
      </c>
      <c r="C39" s="13">
        <f>MAX(Datos!D15-Datos!C15,0)</f>
        <v>0</v>
      </c>
    </row>
    <row r="40" spans="1:3" ht="15" customHeight="1" x14ac:dyDescent="0.3">
      <c r="A40" s="2" t="s">
        <v>63</v>
      </c>
      <c r="B40" s="13">
        <f>0</f>
        <v>0</v>
      </c>
      <c r="C40" s="13">
        <f>0</f>
        <v>0</v>
      </c>
    </row>
    <row r="41" spans="1:3" ht="15" customHeight="1" x14ac:dyDescent="0.3">
      <c r="A41" s="11" t="s">
        <v>64</v>
      </c>
      <c r="B41" s="12"/>
      <c r="C41" s="12"/>
    </row>
    <row r="42" spans="1:3" ht="15" customHeight="1" x14ac:dyDescent="0.3">
      <c r="A42" s="2" t="s">
        <v>65</v>
      </c>
      <c r="B42" s="13">
        <f>0</f>
        <v>0</v>
      </c>
      <c r="C42" s="13">
        <f>0</f>
        <v>0</v>
      </c>
    </row>
    <row r="43" spans="1:3" ht="15" customHeight="1" x14ac:dyDescent="0.3">
      <c r="A43" s="2" t="s">
        <v>66</v>
      </c>
      <c r="B43" s="13">
        <f>-MAX(Datos!B15-Datos!C15,0)</f>
        <v>-1322668.4500000002</v>
      </c>
      <c r="C43" s="13">
        <f>-MAX(Datos!C15-Datos!D15,0)</f>
        <v>-908910</v>
      </c>
    </row>
    <row r="44" spans="1:3" ht="15" customHeight="1" x14ac:dyDescent="0.3">
      <c r="A44" s="2" t="s">
        <v>111</v>
      </c>
      <c r="B44" s="13">
        <f>(Datos!C16-Datos!B16)-Datos!C17-Datos!C27</f>
        <v>981502.66999999993</v>
      </c>
      <c r="C44" s="13">
        <f>(Datos!D16-Datos!C16)-Datos!D17-Datos!D27</f>
        <v>-224646</v>
      </c>
    </row>
    <row r="45" spans="1:3" ht="15" customHeight="1" x14ac:dyDescent="0.3">
      <c r="A45" s="2" t="s">
        <v>112</v>
      </c>
      <c r="B45" s="13">
        <f>-((Datos!C10-Datos!B10)+Datos!C25)</f>
        <v>-75269.119999999879</v>
      </c>
      <c r="C45" s="13">
        <f>-((Datos!D10-Datos!C10)+Datos!D25)</f>
        <v>-299179.32000000007</v>
      </c>
    </row>
    <row r="46" spans="1:3" ht="15" customHeight="1" x14ac:dyDescent="0.3">
      <c r="A46" s="3" t="s">
        <v>113</v>
      </c>
      <c r="B46" s="15">
        <f>B32+SUM(B35:B40)+SUM(B42:B45)</f>
        <v>2062310.2899999998</v>
      </c>
      <c r="C46" s="15">
        <f>C32+SUM(C35:C40)+SUM(C42:C45)</f>
        <v>3930162.7409999967</v>
      </c>
    </row>
    <row r="47" spans="1:3" ht="15" customHeight="1" x14ac:dyDescent="0.3">
      <c r="A47" s="3" t="s">
        <v>114</v>
      </c>
      <c r="B47" s="15">
        <f>B33+B46</f>
        <v>14241966.709999999</v>
      </c>
      <c r="C47" s="15">
        <f>C33+C46</f>
        <v>18172128.740999997</v>
      </c>
    </row>
    <row r="49" spans="1:3" ht="15" customHeight="1" x14ac:dyDescent="0.3">
      <c r="A49" s="2" t="s">
        <v>115</v>
      </c>
      <c r="B49" s="13">
        <f>Datos!C5+Datos!C6</f>
        <v>14241966</v>
      </c>
      <c r="C49" s="13">
        <f>Datos!D5+Datos!D6</f>
        <v>18172128</v>
      </c>
    </row>
    <row r="50" spans="1:3" ht="15" customHeight="1" x14ac:dyDescent="0.3">
      <c r="A50" s="2" t="s">
        <v>116</v>
      </c>
      <c r="B50" s="13">
        <f>B47-B49</f>
        <v>0.70999999903142452</v>
      </c>
      <c r="C50" s="13">
        <f>C47-C49</f>
        <v>0.74099999666213989</v>
      </c>
    </row>
    <row r="52" spans="1:3" ht="15" customHeight="1" x14ac:dyDescent="0.3">
      <c r="A52" s="16" t="s">
        <v>117</v>
      </c>
    </row>
    <row r="53" spans="1:3" ht="25.5" customHeight="1" x14ac:dyDescent="0.3">
      <c r="A53" s="17" t="s">
        <v>118</v>
      </c>
    </row>
    <row r="54" spans="1:3" ht="25.5" customHeight="1" x14ac:dyDescent="0.3">
      <c r="A54" s="17" t="s">
        <v>119</v>
      </c>
    </row>
    <row r="55" spans="1:3" ht="25.5" customHeight="1" x14ac:dyDescent="0.3">
      <c r="A55" s="17" t="s">
        <v>120</v>
      </c>
    </row>
    <row r="56" spans="1:3" ht="25.5" customHeight="1" x14ac:dyDescent="0.3">
      <c r="A56" s="17" t="s">
        <v>121</v>
      </c>
    </row>
    <row r="57" spans="1:3" ht="25.5" customHeight="1" x14ac:dyDescent="0.3">
      <c r="A57" s="17" t="s">
        <v>122</v>
      </c>
    </row>
    <row r="58" spans="1:3" ht="25.5" customHeight="1" x14ac:dyDescent="0.3">
      <c r="A58" s="17" t="s">
        <v>123</v>
      </c>
    </row>
    <row r="59" spans="1:3" ht="25.5" customHeight="1" x14ac:dyDescent="0.3">
      <c r="A59" s="17" t="s">
        <v>124</v>
      </c>
    </row>
    <row r="60" spans="1:3" ht="25.5" customHeight="1" x14ac:dyDescent="0.3">
      <c r="A60" s="17" t="s">
        <v>125</v>
      </c>
    </row>
    <row r="61" spans="1:3" ht="25.5" customHeight="1" x14ac:dyDescent="0.3">
      <c r="A61" s="17" t="s">
        <v>126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4"/>
  <sheetViews>
    <sheetView topLeftCell="A3" zoomScaleNormal="100" workbookViewId="0">
      <selection activeCell="B32" sqref="B32"/>
    </sheetView>
  </sheetViews>
  <sheetFormatPr baseColWidth="10" defaultColWidth="8.6640625" defaultRowHeight="14.4" x14ac:dyDescent="0.3"/>
  <cols>
    <col min="1" max="1" width="62" customWidth="1"/>
    <col min="2" max="2" width="18" customWidth="1"/>
  </cols>
  <sheetData>
    <row r="1" spans="1:2" ht="15" customHeight="1" x14ac:dyDescent="0.3">
      <c r="A1" s="18" t="s">
        <v>127</v>
      </c>
    </row>
    <row r="2" spans="1:2" x14ac:dyDescent="0.3">
      <c r="A2" s="4"/>
    </row>
    <row r="4" spans="1:2" x14ac:dyDescent="0.3">
      <c r="A4" s="2" t="s">
        <v>128</v>
      </c>
      <c r="B4" s="13">
        <f>Datos!D20</f>
        <v>31707842</v>
      </c>
    </row>
    <row r="5" spans="1:2" x14ac:dyDescent="0.3">
      <c r="A5" s="2" t="s">
        <v>129</v>
      </c>
      <c r="B5" s="13">
        <f>B4/12</f>
        <v>2642320.1666666665</v>
      </c>
    </row>
    <row r="6" spans="1:2" x14ac:dyDescent="0.3">
      <c r="A6" s="2" t="s">
        <v>130</v>
      </c>
      <c r="B6" s="19">
        <f>Datos!D22/Datos!D20</f>
        <v>0.35067684517918313</v>
      </c>
    </row>
    <row r="7" spans="1:2" x14ac:dyDescent="0.3">
      <c r="A7" s="2" t="s">
        <v>131</v>
      </c>
      <c r="B7" s="19">
        <f>Datos!D23/Datos!D20</f>
        <v>0.5446084599513269</v>
      </c>
    </row>
    <row r="8" spans="1:2" x14ac:dyDescent="0.3">
      <c r="A8" s="2" t="s">
        <v>132</v>
      </c>
      <c r="B8" s="19">
        <f>Datos!D24/Datos!D20</f>
        <v>3.4500000000000003E-2</v>
      </c>
    </row>
    <row r="9" spans="1:2" x14ac:dyDescent="0.3">
      <c r="A9" s="2" t="s">
        <v>133</v>
      </c>
      <c r="B9" s="9">
        <f>Datos!D27/Datos!D20</f>
        <v>5.8664162638378231E-2</v>
      </c>
    </row>
    <row r="10" spans="1:2" x14ac:dyDescent="0.3">
      <c r="A10" s="2" t="s">
        <v>134</v>
      </c>
      <c r="B10" s="13">
        <f>Datos!D25</f>
        <v>496357</v>
      </c>
    </row>
    <row r="11" spans="1:2" x14ac:dyDescent="0.3">
      <c r="A11" s="2" t="s">
        <v>135</v>
      </c>
      <c r="B11" s="13">
        <f>B10/12</f>
        <v>41363.083333333336</v>
      </c>
    </row>
    <row r="12" spans="1:2" x14ac:dyDescent="0.3">
      <c r="A12" s="2" t="s">
        <v>136</v>
      </c>
      <c r="B12" s="13">
        <f>(Datos!D10-Datos!C10)+Datos!D25</f>
        <v>299179.32000000007</v>
      </c>
    </row>
    <row r="13" spans="1:2" x14ac:dyDescent="0.3">
      <c r="A13" s="2" t="s">
        <v>137</v>
      </c>
      <c r="B13" s="13">
        <f>B12/12</f>
        <v>24931.610000000004</v>
      </c>
    </row>
    <row r="14" spans="1:2" x14ac:dyDescent="0.3">
      <c r="A14" s="2" t="s">
        <v>138</v>
      </c>
      <c r="B14" s="9">
        <f>Datos!D26/((Datos!C15+Datos!D15)/2)</f>
        <v>0.11993773027106674</v>
      </c>
    </row>
    <row r="15" spans="1:2" x14ac:dyDescent="0.3">
      <c r="A15" s="2" t="s">
        <v>139</v>
      </c>
      <c r="B15" s="13">
        <f>Datos!D15</f>
        <v>1034551</v>
      </c>
    </row>
    <row r="16" spans="1:2" x14ac:dyDescent="0.3">
      <c r="A16" s="2" t="s">
        <v>140</v>
      </c>
      <c r="B16" s="20">
        <v>0.25</v>
      </c>
    </row>
    <row r="17" spans="1:2" x14ac:dyDescent="0.3">
      <c r="A17" s="2" t="s">
        <v>141</v>
      </c>
      <c r="B17" s="13">
        <f>Datos!D5+Datos!D6</f>
        <v>18172128</v>
      </c>
    </row>
    <row r="19" spans="1:2" x14ac:dyDescent="0.3">
      <c r="A19" s="3" t="s">
        <v>142</v>
      </c>
    </row>
    <row r="20" spans="1:2" x14ac:dyDescent="0.3">
      <c r="A20" s="21" t="s">
        <v>143</v>
      </c>
    </row>
    <row r="21" spans="1:2" x14ac:dyDescent="0.3">
      <c r="A21" s="21" t="s">
        <v>144</v>
      </c>
    </row>
    <row r="22" spans="1:2" x14ac:dyDescent="0.3">
      <c r="A22" s="21" t="s">
        <v>145</v>
      </c>
    </row>
    <row r="23" spans="1:2" x14ac:dyDescent="0.3">
      <c r="A23" s="21" t="s">
        <v>146</v>
      </c>
    </row>
    <row r="24" spans="1:2" x14ac:dyDescent="0.3">
      <c r="A24" s="21" t="s">
        <v>147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0"/>
  <sheetViews>
    <sheetView zoomScaleNormal="100" workbookViewId="0">
      <selection activeCell="A11" sqref="A11"/>
    </sheetView>
  </sheetViews>
  <sheetFormatPr baseColWidth="10" defaultColWidth="8.6640625" defaultRowHeight="14.4" x14ac:dyDescent="0.3"/>
  <cols>
    <col min="1" max="1" width="52" customWidth="1"/>
    <col min="2" max="4" width="16" customWidth="1"/>
  </cols>
  <sheetData>
    <row r="1" spans="1:4" ht="15" customHeight="1" x14ac:dyDescent="0.3">
      <c r="A1" s="18" t="s">
        <v>148</v>
      </c>
    </row>
    <row r="2" spans="1:4" ht="15" customHeight="1" x14ac:dyDescent="0.3">
      <c r="A2" s="4"/>
    </row>
    <row r="3" spans="1:4" ht="15" customHeight="1" x14ac:dyDescent="0.3">
      <c r="A3" s="22" t="s">
        <v>149</v>
      </c>
      <c r="B3" s="22" t="s">
        <v>150</v>
      </c>
      <c r="C3" s="22" t="s">
        <v>151</v>
      </c>
      <c r="D3" s="22" t="s">
        <v>152</v>
      </c>
    </row>
    <row r="4" spans="1:4" ht="15" customHeight="1" x14ac:dyDescent="0.3">
      <c r="A4" s="11" t="s">
        <v>153</v>
      </c>
      <c r="B4" s="12"/>
      <c r="C4" s="12"/>
      <c r="D4" s="12"/>
    </row>
    <row r="5" spans="1:4" ht="15" customHeight="1" x14ac:dyDescent="0.3">
      <c r="A5" s="2" t="s">
        <v>154</v>
      </c>
      <c r="B5" s="23">
        <v>6090169.8499999996</v>
      </c>
      <c r="C5" s="23">
        <v>8142043</v>
      </c>
      <c r="D5" s="23">
        <v>12072205</v>
      </c>
    </row>
    <row r="6" spans="1:4" ht="15" customHeight="1" x14ac:dyDescent="0.3">
      <c r="A6" s="2" t="s">
        <v>155</v>
      </c>
      <c r="B6" s="23">
        <v>6089486.5700000003</v>
      </c>
      <c r="C6" s="23">
        <v>6099923</v>
      </c>
      <c r="D6" s="23">
        <v>6099923</v>
      </c>
    </row>
    <row r="7" spans="1:4" ht="15" customHeight="1" x14ac:dyDescent="0.3">
      <c r="A7" s="2" t="s">
        <v>156</v>
      </c>
      <c r="B7" s="23">
        <v>0</v>
      </c>
      <c r="C7" s="23">
        <v>6982712</v>
      </c>
      <c r="D7" s="23">
        <v>6982712</v>
      </c>
    </row>
    <row r="8" spans="1:4" ht="15" customHeight="1" x14ac:dyDescent="0.3">
      <c r="A8" s="2" t="s">
        <v>157</v>
      </c>
      <c r="B8" s="23">
        <v>6982712</v>
      </c>
      <c r="C8" s="23">
        <v>0</v>
      </c>
      <c r="D8" s="23">
        <v>0</v>
      </c>
    </row>
    <row r="9" spans="1:4" ht="15" customHeight="1" x14ac:dyDescent="0.3">
      <c r="A9" s="2" t="s">
        <v>158</v>
      </c>
      <c r="B9" s="23">
        <v>384212</v>
      </c>
      <c r="C9" s="23">
        <v>365000</v>
      </c>
      <c r="D9" s="23">
        <v>67000</v>
      </c>
    </row>
    <row r="10" spans="1:4" ht="15" customHeight="1" x14ac:dyDescent="0.3">
      <c r="A10" s="2" t="s">
        <v>159</v>
      </c>
      <c r="B10" s="23">
        <v>2051765.56</v>
      </c>
      <c r="C10" s="23">
        <v>1630677.68</v>
      </c>
      <c r="D10" s="23">
        <v>1433500</v>
      </c>
    </row>
    <row r="11" spans="1:4" ht="15" customHeight="1" x14ac:dyDescent="0.3">
      <c r="A11" s="2" t="s">
        <v>160</v>
      </c>
      <c r="B11" s="23">
        <v>2088054</v>
      </c>
      <c r="C11" s="23">
        <v>2481153.39</v>
      </c>
      <c r="D11" s="23">
        <v>1444587</v>
      </c>
    </row>
    <row r="12" spans="1:4" ht="15" customHeight="1" x14ac:dyDescent="0.3">
      <c r="A12" s="2" t="s">
        <v>161</v>
      </c>
      <c r="B12" s="23">
        <v>679535.2</v>
      </c>
      <c r="C12" s="23">
        <v>6901437</v>
      </c>
      <c r="D12" s="23">
        <v>10955133</v>
      </c>
    </row>
    <row r="13" spans="1:4" ht="15" customHeight="1" x14ac:dyDescent="0.3">
      <c r="A13" s="2" t="s">
        <v>162</v>
      </c>
      <c r="B13" s="23">
        <v>139996</v>
      </c>
      <c r="C13" s="23">
        <v>0</v>
      </c>
      <c r="D13" s="23">
        <v>0</v>
      </c>
    </row>
    <row r="14" spans="1:4" ht="15" customHeight="1" x14ac:dyDescent="0.3">
      <c r="A14" s="2" t="s">
        <v>163</v>
      </c>
      <c r="B14" s="23">
        <v>4813214</v>
      </c>
      <c r="C14" s="23">
        <v>0</v>
      </c>
      <c r="D14" s="23">
        <v>0</v>
      </c>
    </row>
    <row r="15" spans="1:4" ht="15" customHeight="1" x14ac:dyDescent="0.3">
      <c r="A15" s="2" t="s">
        <v>164</v>
      </c>
      <c r="B15" s="23">
        <v>3266129.45</v>
      </c>
      <c r="C15" s="23">
        <v>1943461</v>
      </c>
      <c r="D15" s="23">
        <v>1034551</v>
      </c>
    </row>
    <row r="16" spans="1:4" ht="15" customHeight="1" x14ac:dyDescent="0.3">
      <c r="A16" s="2" t="s">
        <v>165</v>
      </c>
      <c r="B16" s="23">
        <v>10611417.33</v>
      </c>
      <c r="C16" s="23">
        <v>11894305</v>
      </c>
      <c r="D16" s="23">
        <v>13221069</v>
      </c>
    </row>
    <row r="17" spans="1:4" ht="15" customHeight="1" x14ac:dyDescent="0.3">
      <c r="A17" s="2" t="s">
        <v>166</v>
      </c>
      <c r="B17" s="23">
        <v>398988.18</v>
      </c>
      <c r="C17" s="23">
        <v>80068</v>
      </c>
      <c r="D17" s="23">
        <v>-308704</v>
      </c>
    </row>
    <row r="19" spans="1:4" ht="15" customHeight="1" x14ac:dyDescent="0.3">
      <c r="A19" s="11" t="s">
        <v>167</v>
      </c>
      <c r="B19" s="12"/>
      <c r="C19" s="12"/>
      <c r="D19" s="12"/>
    </row>
    <row r="20" spans="1:4" ht="15" customHeight="1" x14ac:dyDescent="0.3">
      <c r="A20" s="2" t="s">
        <v>168</v>
      </c>
      <c r="B20" s="23">
        <v>20943303.390000001</v>
      </c>
      <c r="C20" s="23">
        <v>23810536</v>
      </c>
      <c r="D20" s="23">
        <v>31707842</v>
      </c>
    </row>
    <row r="21" spans="1:4" ht="15" customHeight="1" x14ac:dyDescent="0.3">
      <c r="A21" s="2" t="s">
        <v>169</v>
      </c>
      <c r="B21" s="23">
        <v>174486.95</v>
      </c>
      <c r="C21" s="23">
        <v>0</v>
      </c>
      <c r="D21" s="23">
        <v>0</v>
      </c>
    </row>
    <row r="22" spans="1:4" ht="15" customHeight="1" x14ac:dyDescent="0.3">
      <c r="A22" s="2" t="s">
        <v>170</v>
      </c>
      <c r="B22" s="23">
        <v>12873103.880000001</v>
      </c>
      <c r="C22" s="23">
        <v>19611137</v>
      </c>
      <c r="D22" s="23">
        <v>11119206</v>
      </c>
    </row>
    <row r="23" spans="1:4" ht="15" customHeight="1" x14ac:dyDescent="0.3">
      <c r="A23" s="2" t="s">
        <v>171</v>
      </c>
      <c r="B23" s="23">
        <v>5203367.7300000004</v>
      </c>
      <c r="C23" s="23">
        <v>2385055.5079999999</v>
      </c>
      <c r="D23" s="23">
        <v>17268359</v>
      </c>
    </row>
    <row r="24" spans="1:4" ht="15" customHeight="1" x14ac:dyDescent="0.3">
      <c r="A24" s="2" t="s">
        <v>172</v>
      </c>
      <c r="B24" s="23">
        <v>722183</v>
      </c>
      <c r="C24" s="23">
        <v>821463.49199999997</v>
      </c>
      <c r="D24" s="23">
        <v>1093920.5490000001</v>
      </c>
    </row>
    <row r="25" spans="1:4" ht="15" customHeight="1" x14ac:dyDescent="0.3">
      <c r="A25" s="2" t="s">
        <v>173</v>
      </c>
      <c r="B25" s="23">
        <v>631161.92000000004</v>
      </c>
      <c r="C25" s="23">
        <v>496357</v>
      </c>
      <c r="D25" s="23">
        <v>496357</v>
      </c>
    </row>
    <row r="26" spans="1:4" ht="15" customHeight="1" x14ac:dyDescent="0.3">
      <c r="A26" s="2" t="s">
        <v>174</v>
      </c>
      <c r="B26" s="23">
        <v>938770.31</v>
      </c>
      <c r="C26" s="23">
        <v>195138</v>
      </c>
      <c r="D26" s="23">
        <v>178588</v>
      </c>
    </row>
    <row r="27" spans="1:4" ht="15" customHeight="1" x14ac:dyDescent="0.3">
      <c r="A27" s="2" t="s">
        <v>175</v>
      </c>
      <c r="B27" s="23">
        <v>189220.04</v>
      </c>
      <c r="C27" s="23">
        <v>221317</v>
      </c>
      <c r="D27" s="23">
        <v>1860114</v>
      </c>
    </row>
    <row r="28" spans="1:4" ht="15" customHeight="1" x14ac:dyDescent="0.3">
      <c r="A28" s="2" t="s">
        <v>176</v>
      </c>
      <c r="B28" s="23">
        <v>139996</v>
      </c>
      <c r="C28" s="23">
        <v>0</v>
      </c>
      <c r="D28" s="23">
        <v>0</v>
      </c>
    </row>
    <row r="29" spans="1:4" ht="15" customHeight="1" x14ac:dyDescent="0.3">
      <c r="A29" s="2" t="s">
        <v>177</v>
      </c>
      <c r="B29" s="23">
        <v>20999.38</v>
      </c>
      <c r="C29" s="23">
        <v>0</v>
      </c>
      <c r="D29" s="23">
        <v>0</v>
      </c>
    </row>
    <row r="30" spans="1:4" ht="15" customHeight="1" x14ac:dyDescent="0.3">
      <c r="A30" s="2" t="s">
        <v>178</v>
      </c>
      <c r="B30" s="23">
        <v>398988.08</v>
      </c>
      <c r="C30" s="23">
        <v>80068</v>
      </c>
      <c r="D30" s="23">
        <v>-308702.549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Flujo Anual</vt:lpstr>
      <vt:lpstr>Flujo 12 Meses</vt:lpstr>
      <vt:lpstr>Flujo Historico 2024-2025</vt:lpstr>
      <vt:lpstr>Supuestos</vt:lpstr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SR. JOSE IRUSTA</cp:lastModifiedBy>
  <cp:revision>0</cp:revision>
  <dcterms:created xsi:type="dcterms:W3CDTF">2026-10-13T14:00:26Z</dcterms:created>
  <dcterms:modified xsi:type="dcterms:W3CDTF">2026-10-13T15:53:22Z</dcterms:modified>
  <dc:language>en-US</dc:language>
</cp:coreProperties>
</file>